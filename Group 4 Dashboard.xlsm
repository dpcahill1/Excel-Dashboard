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tables/table5.xml" ContentType="application/vnd.openxmlformats-officedocument.spreadsheetml.table+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hidePivotFieldList="1"/>
  <mc:AlternateContent xmlns:mc="http://schemas.openxmlformats.org/markup-compatibility/2006">
    <mc:Choice Requires="x15">
      <x15ac:absPath xmlns:x15ac="http://schemas.microsoft.com/office/spreadsheetml/2010/11/ac" url="/Users/dancahill/Desktop/MGMT 601/"/>
    </mc:Choice>
  </mc:AlternateContent>
  <xr:revisionPtr revIDLastSave="0" documentId="13_ncr:1_{227CDDAF-2F54-A84B-91C1-D21A66775DBC}" xr6:coauthVersionLast="47" xr6:coauthVersionMax="47" xr10:uidLastSave="{00000000-0000-0000-0000-000000000000}"/>
  <bookViews>
    <workbookView xWindow="0" yWindow="500" windowWidth="28800" windowHeight="16200" xr2:uid="{C3D3D8B7-D7F3-154C-A5E8-FAA877ABE19E}"/>
  </bookViews>
  <sheets>
    <sheet name="Home Page" sheetId="23" r:id="rId1"/>
    <sheet name="Dashboard" sheetId="1" state="hidden" r:id="rId2"/>
    <sheet name="Information" sheetId="16" state="hidden" r:id="rId3"/>
    <sheet name="Age Demographic" sheetId="5" state="hidden" r:id="rId4"/>
    <sheet name="Quality of Life Data" sheetId="11" state="hidden" r:id="rId5"/>
    <sheet name="Salary Data" sheetId="12" state="hidden" r:id="rId6"/>
    <sheet name="Best Foodie Cities" sheetId="22" state="hidden" r:id="rId7"/>
    <sheet name="Crime Data" sheetId="3" state="hidden" r:id="rId8"/>
    <sheet name="Bottom Data" sheetId="21" state="hidden" r:id="rId9"/>
  </sheets>
  <definedNames>
    <definedName name="Slicer_City">#N/A</definedName>
    <definedName name="Slicer_City1">#N/A</definedName>
  </definedNames>
  <calcPr calcId="191028"/>
  <pivotCaches>
    <pivotCache cacheId="3" r:id="rId10"/>
    <pivotCache cacheId="4"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1" l="1"/>
  <c r="N2" i="1"/>
  <c r="N24" i="1" l="1"/>
  <c r="H32" i="1" l="1"/>
  <c r="G32" i="1"/>
  <c r="F32" i="1"/>
  <c r="E32" i="1"/>
  <c r="H31" i="1"/>
  <c r="G31" i="1"/>
  <c r="F31" i="1"/>
  <c r="E31" i="1"/>
  <c r="H30" i="1"/>
  <c r="G30" i="1"/>
  <c r="F30" i="1"/>
  <c r="E30" i="1"/>
  <c r="B24" i="21"/>
  <c r="J209" i="22"/>
  <c r="H193" i="22"/>
  <c r="E39" i="1"/>
  <c r="G25" i="1"/>
  <c r="H42" i="1"/>
  <c r="B26" i="21"/>
  <c r="F25" i="1"/>
  <c r="E36" i="1"/>
  <c r="F38" i="1"/>
  <c r="G38" i="1"/>
  <c r="F36" i="1"/>
  <c r="E35" i="1"/>
  <c r="G41" i="1"/>
  <c r="H39" i="1"/>
  <c r="E37" i="1"/>
  <c r="H36" i="1"/>
  <c r="F41" i="1"/>
  <c r="H41" i="1"/>
  <c r="F35" i="1"/>
  <c r="E27" i="1"/>
  <c r="E40" i="1"/>
  <c r="G40" i="1"/>
  <c r="F27" i="1"/>
  <c r="H38" i="1"/>
  <c r="B27" i="21"/>
  <c r="E38" i="1"/>
  <c r="H35" i="1"/>
  <c r="G35" i="1"/>
  <c r="G39" i="1"/>
  <c r="H25" i="1"/>
  <c r="F42" i="1"/>
  <c r="G42" i="1"/>
  <c r="E25" i="1"/>
  <c r="B25" i="21"/>
  <c r="F40" i="1"/>
  <c r="H40" i="1"/>
  <c r="H37" i="1"/>
  <c r="E42" i="1"/>
  <c r="E41" i="1"/>
  <c r="G37" i="1"/>
  <c r="F37" i="1"/>
  <c r="G27" i="1"/>
  <c r="F39" i="1"/>
  <c r="H27" i="1"/>
  <c r="G36" i="1"/>
  <c r="O27" i="1" l="1"/>
  <c r="O32" i="1"/>
  <c r="O37" i="1"/>
  <c r="Q11" i="5"/>
  <c r="Q10" i="5"/>
  <c r="Q9" i="5"/>
  <c r="Q8" i="5"/>
  <c r="Q7" i="5"/>
  <c r="Q6" i="5"/>
  <c r="Q5" i="5"/>
  <c r="Q4" i="5"/>
  <c r="Q3" i="5"/>
  <c r="O11" i="5"/>
  <c r="O10" i="5"/>
  <c r="O9" i="5"/>
  <c r="O8" i="5"/>
  <c r="O7" i="5"/>
  <c r="O6" i="5"/>
  <c r="O5" i="5"/>
  <c r="O4" i="5"/>
  <c r="O3" i="5"/>
  <c r="Q2" i="5"/>
  <c r="O2" i="5"/>
  <c r="O11" i="1"/>
  <c r="K11" i="1"/>
  <c r="O9" i="1"/>
  <c r="I7" i="12" l="1"/>
  <c r="G7" i="12"/>
  <c r="I6" i="12"/>
  <c r="G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4DB11C-ACD1-4059-A539-1C4A5C561C63}" keepAlive="1" name="Query - clean_data" description="Connection to the 'clean_data' query in the workbook." type="5" refreshedVersion="0" background="1" saveData="1">
    <dbPr connection="Provider=Microsoft.Mashup.OleDb.1;Data Source=$Workbook$;Location=clean_data;Extended Properties=&quot;&quot;" command="SELECT * FROM [clean_data]"/>
  </connection>
  <connection id="2" xr16:uid="{1C5EB34E-5623-45BC-9287-A5C15CB88532}" keepAlive="1" name="Query - North America Restaurants" description="Connection to the 'North America Restaurants' query in the workbook." type="5" refreshedVersion="8" background="1" saveData="1">
    <dbPr connection="Provider=Microsoft.Mashup.OleDb.1;Data Source=$Workbook$;Location=&quot;North America Restaurants&quot;;Extended Properties=&quot;&quot;" command="SELECT * FROM [North America Restaurants]"/>
  </connection>
  <connection id="3" xr16:uid="{D40D8CCE-0F9F-4E87-A3D8-957F17575651}" keepAlive="1" name="Query - Salary Data" description="Connection to the 'Salary Data' query in the workbook." type="5" refreshedVersion="0" background="1" saveData="1">
    <dbPr connection="Provider=Microsoft.Mashup.OleDb.1;Data Source=$Workbook$;Location=&quot;Salary Data&quot;;Extended Properties=&quot;&quot;" command="SELECT * FROM [Salary Data]"/>
  </connection>
</connections>
</file>

<file path=xl/sharedStrings.xml><?xml version="1.0" encoding="utf-8"?>
<sst xmlns="http://schemas.openxmlformats.org/spreadsheetml/2006/main" count="1964" uniqueCount="966">
  <si>
    <t>Best City to Live in the US</t>
  </si>
  <si>
    <t>Boston</t>
  </si>
  <si>
    <t>On Average</t>
  </si>
  <si>
    <t>is number</t>
  </si>
  <si>
    <t>costs</t>
  </si>
  <si>
    <t>a month without rent!</t>
  </si>
  <si>
    <t>in Quality of Life!</t>
  </si>
  <si>
    <t>states</t>
  </si>
  <si>
    <t>cities</t>
  </si>
  <si>
    <t>population</t>
  </si>
  <si>
    <t>total_crime</t>
  </si>
  <si>
    <t>murder</t>
  </si>
  <si>
    <t>rape</t>
  </si>
  <si>
    <t>robbery</t>
  </si>
  <si>
    <t>agrv_assault</t>
  </si>
  <si>
    <t>tot_violent_crime</t>
  </si>
  <si>
    <t>burglary</t>
  </si>
  <si>
    <t>larceny</t>
  </si>
  <si>
    <t>vehicle_theft</t>
  </si>
  <si>
    <t>tot_prop_crim</t>
  </si>
  <si>
    <t>arson</t>
  </si>
  <si>
    <t>States</t>
  </si>
  <si>
    <t>Cities</t>
  </si>
  <si>
    <t>Total Crime</t>
  </si>
  <si>
    <t>Total Violent Crime</t>
  </si>
  <si>
    <t>Total Property Crime</t>
  </si>
  <si>
    <t>New Mexico</t>
  </si>
  <si>
    <t>Albuquerque</t>
  </si>
  <si>
    <t>Georgia</t>
  </si>
  <si>
    <t>Atlanta</t>
  </si>
  <si>
    <t>California</t>
  </si>
  <si>
    <t>Anaheim</t>
  </si>
  <si>
    <t>Texas</t>
  </si>
  <si>
    <t>Austin</t>
  </si>
  <si>
    <t>Alaska</t>
  </si>
  <si>
    <t>Anchorage</t>
  </si>
  <si>
    <t>Massachusetts</t>
  </si>
  <si>
    <t>Arlington4</t>
  </si>
  <si>
    <t>Los Angeles</t>
  </si>
  <si>
    <t>Florida</t>
  </si>
  <si>
    <t>Miami</t>
  </si>
  <si>
    <t>Colorado</t>
  </si>
  <si>
    <t>Aurora</t>
  </si>
  <si>
    <t>New York</t>
  </si>
  <si>
    <t>Pennsylvania</t>
  </si>
  <si>
    <t>Pittsburgh</t>
  </si>
  <si>
    <t>Bakersfield</t>
  </si>
  <si>
    <t>San Diego</t>
  </si>
  <si>
    <t>Maryland</t>
  </si>
  <si>
    <t>Baltimore</t>
  </si>
  <si>
    <t>District of Columbia</t>
  </si>
  <si>
    <t>Washington, D.C.</t>
  </si>
  <si>
    <t>Louisiana</t>
  </si>
  <si>
    <t>Baton Rouge</t>
  </si>
  <si>
    <t>Idaho</t>
  </si>
  <si>
    <t>Boise</t>
  </si>
  <si>
    <t>Buffalo</t>
  </si>
  <si>
    <t>Arizona</t>
  </si>
  <si>
    <t>Chandler</t>
  </si>
  <si>
    <t>North Carolina8</t>
  </si>
  <si>
    <t>Charlotte-Mecklenburg</t>
  </si>
  <si>
    <t>Virginia</t>
  </si>
  <si>
    <t>Chesapeake</t>
  </si>
  <si>
    <t>Illinois</t>
  </si>
  <si>
    <t>Chicago</t>
  </si>
  <si>
    <t>Chula Vista</t>
  </si>
  <si>
    <t>Ohio</t>
  </si>
  <si>
    <t>Cincinnati</t>
  </si>
  <si>
    <t>Cleveland</t>
  </si>
  <si>
    <t>Colorado Springs</t>
  </si>
  <si>
    <t>Columbus</t>
  </si>
  <si>
    <t>Corpus Christi</t>
  </si>
  <si>
    <t>Dallas</t>
  </si>
  <si>
    <t>Denver</t>
  </si>
  <si>
    <t>Iowa</t>
  </si>
  <si>
    <t>Des Moines</t>
  </si>
  <si>
    <t>Michigan</t>
  </si>
  <si>
    <t>Detroit</t>
  </si>
  <si>
    <t>Durham</t>
  </si>
  <si>
    <t>El Paso</t>
  </si>
  <si>
    <t>Indiana</t>
  </si>
  <si>
    <t>Fort Wayne</t>
  </si>
  <si>
    <t>Fort Worth</t>
  </si>
  <si>
    <t>Fremont</t>
  </si>
  <si>
    <t>Fresno</t>
  </si>
  <si>
    <t>Garland</t>
  </si>
  <si>
    <t>Gilbert</t>
  </si>
  <si>
    <t>Glendale</t>
  </si>
  <si>
    <t>Greensboro</t>
  </si>
  <si>
    <t>Nevada</t>
  </si>
  <si>
    <t>Henderson</t>
  </si>
  <si>
    <t>Hialeah</t>
  </si>
  <si>
    <t>Hawaii</t>
  </si>
  <si>
    <t>Honolulu</t>
  </si>
  <si>
    <t>Houston</t>
  </si>
  <si>
    <t>Indianapolis</t>
  </si>
  <si>
    <t>Irvine</t>
  </si>
  <si>
    <t>Irving</t>
  </si>
  <si>
    <t>Jacksonville</t>
  </si>
  <si>
    <t>New Jersey</t>
  </si>
  <si>
    <t>Jersey City</t>
  </si>
  <si>
    <t>Missouri</t>
  </si>
  <si>
    <t>Kansas City</t>
  </si>
  <si>
    <t>Laredo</t>
  </si>
  <si>
    <t>Las Vegas</t>
  </si>
  <si>
    <t>Kentucky</t>
  </si>
  <si>
    <t>Lexington</t>
  </si>
  <si>
    <t>Long Beach</t>
  </si>
  <si>
    <t>Louisville Metro6</t>
  </si>
  <si>
    <t>Wisconsin</t>
  </si>
  <si>
    <t>Madison</t>
  </si>
  <si>
    <t>Tennessee</t>
  </si>
  <si>
    <t>Memphis</t>
  </si>
  <si>
    <t>Mesa</t>
  </si>
  <si>
    <t>Milwaukee</t>
  </si>
  <si>
    <t>Minnesota</t>
  </si>
  <si>
    <t>Minneapolis</t>
  </si>
  <si>
    <t>Alabama</t>
  </si>
  <si>
    <t>Mobile3</t>
  </si>
  <si>
    <t>Nashville</t>
  </si>
  <si>
    <t>New Orleans</t>
  </si>
  <si>
    <t>Newark</t>
  </si>
  <si>
    <t>Norfolk</t>
  </si>
  <si>
    <t>North Las Vegas</t>
  </si>
  <si>
    <t>Oakland</t>
  </si>
  <si>
    <t>Oklahoma</t>
  </si>
  <si>
    <t>Oklahoma City</t>
  </si>
  <si>
    <t>Nebraska</t>
  </si>
  <si>
    <t>Omaha</t>
  </si>
  <si>
    <t>Orlando</t>
  </si>
  <si>
    <t>Philadelphia</t>
  </si>
  <si>
    <t>Phoenix</t>
  </si>
  <si>
    <t>Plano</t>
  </si>
  <si>
    <t>Oregon</t>
  </si>
  <si>
    <t>Portland</t>
  </si>
  <si>
    <t>Reno</t>
  </si>
  <si>
    <t>Riverside</t>
  </si>
  <si>
    <t>Sacramento</t>
  </si>
  <si>
    <t>San Antonio</t>
  </si>
  <si>
    <t>San Bernardino</t>
  </si>
  <si>
    <t>San Francisco</t>
  </si>
  <si>
    <t>San Jose</t>
  </si>
  <si>
    <t>Santa Ana</t>
  </si>
  <si>
    <t>Santa Clara</t>
  </si>
  <si>
    <t>Savannah</t>
  </si>
  <si>
    <t>Scottsdale</t>
  </si>
  <si>
    <t>Washington</t>
  </si>
  <si>
    <t>Seattle</t>
  </si>
  <si>
    <t>Spokane</t>
  </si>
  <si>
    <t>St. Louis</t>
  </si>
  <si>
    <t>St. Paul</t>
  </si>
  <si>
    <t>St. Petersburg</t>
  </si>
  <si>
    <t>Stockton4</t>
  </si>
  <si>
    <t>Tampa</t>
  </si>
  <si>
    <t>Toledo4,5,7</t>
  </si>
  <si>
    <t>Tucson</t>
  </si>
  <si>
    <t>Tulsa</t>
  </si>
  <si>
    <t>Virginia Beach</t>
  </si>
  <si>
    <t>Kansas</t>
  </si>
  <si>
    <t>Wichita</t>
  </si>
  <si>
    <t>City</t>
  </si>
  <si>
    <t>State</t>
  </si>
  <si>
    <t>Median Age</t>
  </si>
  <si>
    <t>Male Population</t>
  </si>
  <si>
    <t>Female Population</t>
  </si>
  <si>
    <t>Total Population</t>
  </si>
  <si>
    <t>Number of Veterans</t>
  </si>
  <si>
    <t>Foreign-born</t>
  </si>
  <si>
    <t>Average Household Size</t>
  </si>
  <si>
    <t>Male Proportion</t>
  </si>
  <si>
    <t>Female Proportion</t>
  </si>
  <si>
    <t>Abilene</t>
  </si>
  <si>
    <t>Akron</t>
  </si>
  <si>
    <t>Alafaya</t>
  </si>
  <si>
    <t>Alameda</t>
  </si>
  <si>
    <t>Albany</t>
  </si>
  <si>
    <t>Alexandria</t>
  </si>
  <si>
    <t>Pittsburg</t>
  </si>
  <si>
    <t>Alhambra</t>
  </si>
  <si>
    <t>Allen</t>
  </si>
  <si>
    <t>Amarillo</t>
  </si>
  <si>
    <t>Ames</t>
  </si>
  <si>
    <t>Row Labels</t>
  </si>
  <si>
    <t>City Median Age</t>
  </si>
  <si>
    <t>Sum of Total Population</t>
  </si>
  <si>
    <t>Grand Total</t>
  </si>
  <si>
    <t>Ann Arbor</t>
  </si>
  <si>
    <t>Antioch</t>
  </si>
  <si>
    <t>Apple Valley</t>
  </si>
  <si>
    <t>Appleton</t>
  </si>
  <si>
    <t>Arden-Arcade</t>
  </si>
  <si>
    <t>Arlington</t>
  </si>
  <si>
    <t>Arlington Heights</t>
  </si>
  <si>
    <t>Arvada</t>
  </si>
  <si>
    <t>Asheville</t>
  </si>
  <si>
    <t>North Carolina</t>
  </si>
  <si>
    <t>Atascocita</t>
  </si>
  <si>
    <t>Athens-Clarke County unified government</t>
  </si>
  <si>
    <t>Auburn</t>
  </si>
  <si>
    <t>Augusta-Richmond County consolidated government</t>
  </si>
  <si>
    <t>Avondale</t>
  </si>
  <si>
    <t>Baldwin Park</t>
  </si>
  <si>
    <t>Bay</t>
  </si>
  <si>
    <t>Bayamón</t>
  </si>
  <si>
    <t>Puerto Rico</t>
  </si>
  <si>
    <t>Bayonne</t>
  </si>
  <si>
    <t>Beaumont</t>
  </si>
  <si>
    <t>Beaverton</t>
  </si>
  <si>
    <t>Bellevue</t>
  </si>
  <si>
    <t>Bellflower</t>
  </si>
  <si>
    <t>Bellingham</t>
  </si>
  <si>
    <t>Bend</t>
  </si>
  <si>
    <t>Berkeley</t>
  </si>
  <si>
    <t>Bethlehem</t>
  </si>
  <si>
    <t>Billings</t>
  </si>
  <si>
    <t>Montana</t>
  </si>
  <si>
    <t>Birmingham</t>
  </si>
  <si>
    <t>Bismarck</t>
  </si>
  <si>
    <t>North Dakota</t>
  </si>
  <si>
    <t>Bk</t>
  </si>
  <si>
    <t>Bloomington</t>
  </si>
  <si>
    <t>Boca Raton</t>
  </si>
  <si>
    <t>Bolingbrook</t>
  </si>
  <si>
    <t>Bossier City</t>
  </si>
  <si>
    <t>Boulder</t>
  </si>
  <si>
    <t>Boynton Beach</t>
  </si>
  <si>
    <t>Brandon</t>
  </si>
  <si>
    <t>Brentwood</t>
  </si>
  <si>
    <t>Bridgeport</t>
  </si>
  <si>
    <t>Connecticut</t>
  </si>
  <si>
    <t>Brockton</t>
  </si>
  <si>
    <t>Broken Arrow</t>
  </si>
  <si>
    <t>Brooklyn Park</t>
  </si>
  <si>
    <t>Broomfield</t>
  </si>
  <si>
    <t>Brownsville</t>
  </si>
  <si>
    <t>Bryan</t>
  </si>
  <si>
    <t>Buena Park</t>
  </si>
  <si>
    <t>Caguas</t>
  </si>
  <si>
    <t>Camarillo</t>
  </si>
  <si>
    <t>Cambridge</t>
  </si>
  <si>
    <t>Camden</t>
  </si>
  <si>
    <t>Canton</t>
  </si>
  <si>
    <t>Cape Coral</t>
  </si>
  <si>
    <t>Carlsbad</t>
  </si>
  <si>
    <t>Carmel</t>
  </si>
  <si>
    <t>Carmichael</t>
  </si>
  <si>
    <t>Carolina</t>
  </si>
  <si>
    <t>Carrollton</t>
  </si>
  <si>
    <t>Carson</t>
  </si>
  <si>
    <t>Cary</t>
  </si>
  <si>
    <t>Casas Adobes</t>
  </si>
  <si>
    <t>Cedar Park</t>
  </si>
  <si>
    <t>Cedar Rapids</t>
  </si>
  <si>
    <t>Centennial</t>
  </si>
  <si>
    <t>Centreville</t>
  </si>
  <si>
    <t>Champaign</t>
  </si>
  <si>
    <t>Charleston</t>
  </si>
  <si>
    <t>South Carolina</t>
  </si>
  <si>
    <t>Charlotte</t>
  </si>
  <si>
    <t>Chattanooga</t>
  </si>
  <si>
    <t>Cheektowaga</t>
  </si>
  <si>
    <t>Chico</t>
  </si>
  <si>
    <t>Chino</t>
  </si>
  <si>
    <t>Chino Hills</t>
  </si>
  <si>
    <t>Cicero</t>
  </si>
  <si>
    <t>Citrus Heights</t>
  </si>
  <si>
    <t>Clarksville</t>
  </si>
  <si>
    <t>Clearwater</t>
  </si>
  <si>
    <t>Clifton</t>
  </si>
  <si>
    <t>Clovis</t>
  </si>
  <si>
    <t>College Station</t>
  </si>
  <si>
    <t>Columbia</t>
  </si>
  <si>
    <t>Compton</t>
  </si>
  <si>
    <t>Concord</t>
  </si>
  <si>
    <t>Conroe</t>
  </si>
  <si>
    <t>Coral Springs</t>
  </si>
  <si>
    <t>Corona</t>
  </si>
  <si>
    <t>Costa Mesa</t>
  </si>
  <si>
    <t>Cranston</t>
  </si>
  <si>
    <t>Rhode Island</t>
  </si>
  <si>
    <t>Dale City</t>
  </si>
  <si>
    <t>Daly City</t>
  </si>
  <si>
    <t>Danbury</t>
  </si>
  <si>
    <t>Davenport</t>
  </si>
  <si>
    <t>Davie</t>
  </si>
  <si>
    <t>Davis</t>
  </si>
  <si>
    <t>Dayton</t>
  </si>
  <si>
    <t>Dearborn</t>
  </si>
  <si>
    <t>Decatur</t>
  </si>
  <si>
    <t>Deerfield Beach</t>
  </si>
  <si>
    <t>Delray Beach</t>
  </si>
  <si>
    <t>Deltona</t>
  </si>
  <si>
    <t>Denton</t>
  </si>
  <si>
    <t>Dothan</t>
  </si>
  <si>
    <t>Downey</t>
  </si>
  <si>
    <t>Duluth</t>
  </si>
  <si>
    <t>Eagan</t>
  </si>
  <si>
    <t>East Los Angeles</t>
  </si>
  <si>
    <t>East Orange</t>
  </si>
  <si>
    <t>Eau Claire</t>
  </si>
  <si>
    <t>Edinburg</t>
  </si>
  <si>
    <t>Edmond</t>
  </si>
  <si>
    <t>El Cajon</t>
  </si>
  <si>
    <t>El Monte</t>
  </si>
  <si>
    <t>Elgin</t>
  </si>
  <si>
    <t>Elizabeth</t>
  </si>
  <si>
    <t>Elk Grove</t>
  </si>
  <si>
    <t>Ellicott City</t>
  </si>
  <si>
    <t>Enterprise</t>
  </si>
  <si>
    <t>Erie</t>
  </si>
  <si>
    <t>Escondido</t>
  </si>
  <si>
    <t>Eugene</t>
  </si>
  <si>
    <t>Evanston</t>
  </si>
  <si>
    <t>Evansville</t>
  </si>
  <si>
    <t>Everett</t>
  </si>
  <si>
    <t>Fairfield</t>
  </si>
  <si>
    <t>Fall River</t>
  </si>
  <si>
    <t>Fargo</t>
  </si>
  <si>
    <t>Farmington Hills</t>
  </si>
  <si>
    <t>Fayetteville</t>
  </si>
  <si>
    <t>Arkansas</t>
  </si>
  <si>
    <t>Federal Way</t>
  </si>
  <si>
    <t>Fishers</t>
  </si>
  <si>
    <t>Flagstaff</t>
  </si>
  <si>
    <t>Flint</t>
  </si>
  <si>
    <t>Florence-Graham</t>
  </si>
  <si>
    <t>Flower Mound</t>
  </si>
  <si>
    <t>Folsom</t>
  </si>
  <si>
    <t>Fontana</t>
  </si>
  <si>
    <t>Fort Collins</t>
  </si>
  <si>
    <t>Fort Lauderdale</t>
  </si>
  <si>
    <t>Fort Myers</t>
  </si>
  <si>
    <t>Fort Smith</t>
  </si>
  <si>
    <t>Framingham</t>
  </si>
  <si>
    <t>Franklin</t>
  </si>
  <si>
    <t>Frederick</t>
  </si>
  <si>
    <t>Frisco</t>
  </si>
  <si>
    <t>Fullerton</t>
  </si>
  <si>
    <t>Gainesville</t>
  </si>
  <si>
    <t>Gaithersburg</t>
  </si>
  <si>
    <t>Garden Grove</t>
  </si>
  <si>
    <t>Gary</t>
  </si>
  <si>
    <t>Gastonia</t>
  </si>
  <si>
    <t>German</t>
  </si>
  <si>
    <t>Glen Burnie</t>
  </si>
  <si>
    <t>Goodyear</t>
  </si>
  <si>
    <t>Grand Prairie</t>
  </si>
  <si>
    <t>Grand Rapids</t>
  </si>
  <si>
    <t>Greeley</t>
  </si>
  <si>
    <t>Green Bay</t>
  </si>
  <si>
    <t>Greenville</t>
  </si>
  <si>
    <t>Gresham</t>
  </si>
  <si>
    <t>Guaynabo</t>
  </si>
  <si>
    <t>Gulfport</t>
  </si>
  <si>
    <t>Mississippi</t>
  </si>
  <si>
    <t>Hammond</t>
  </si>
  <si>
    <t>Hampton</t>
  </si>
  <si>
    <t>Harlingen</t>
  </si>
  <si>
    <t>Hartford</t>
  </si>
  <si>
    <t>Hawthorne</t>
  </si>
  <si>
    <t>Hayward</t>
  </si>
  <si>
    <t>Hemet</t>
  </si>
  <si>
    <t>Hesperia</t>
  </si>
  <si>
    <t>High Point</t>
  </si>
  <si>
    <t>Highlands Ranch</t>
  </si>
  <si>
    <t>Hillsboro</t>
  </si>
  <si>
    <t>Hollywood</t>
  </si>
  <si>
    <t>Homestead</t>
  </si>
  <si>
    <t>Hoover</t>
  </si>
  <si>
    <t>Huntington Beach</t>
  </si>
  <si>
    <t>Huntsville</t>
  </si>
  <si>
    <t>Independence</t>
  </si>
  <si>
    <t>Indio</t>
  </si>
  <si>
    <t>Inglewood</t>
  </si>
  <si>
    <t>Iowa City</t>
  </si>
  <si>
    <t>Jackson</t>
  </si>
  <si>
    <t>Johns Creek</t>
  </si>
  <si>
    <t>Johnson City</t>
  </si>
  <si>
    <t>Joliet</t>
  </si>
  <si>
    <t>Jonesboro</t>
  </si>
  <si>
    <t>Jurupa Valley</t>
  </si>
  <si>
    <t>Kalamazoo</t>
  </si>
  <si>
    <t>Kendall</t>
  </si>
  <si>
    <t>Kenner</t>
  </si>
  <si>
    <t>Kennewick</t>
  </si>
  <si>
    <t>Kenosha</t>
  </si>
  <si>
    <t>Kent</t>
  </si>
  <si>
    <t>Killeen</t>
  </si>
  <si>
    <t>Kirkland</t>
  </si>
  <si>
    <t>Kissimmee</t>
  </si>
  <si>
    <t>Knoxville</t>
  </si>
  <si>
    <t>Lafayette</t>
  </si>
  <si>
    <t>Laguna Niguel</t>
  </si>
  <si>
    <t>Lake Charles</t>
  </si>
  <si>
    <t>Lake Forest</t>
  </si>
  <si>
    <t>Lakeland</t>
  </si>
  <si>
    <t>Lakewood</t>
  </si>
  <si>
    <t>Lancaster</t>
  </si>
  <si>
    <t>Lansing</t>
  </si>
  <si>
    <t>Largo</t>
  </si>
  <si>
    <t>Las Cruces</t>
  </si>
  <si>
    <t>Lauderhill</t>
  </si>
  <si>
    <t>Lawrence</t>
  </si>
  <si>
    <t>Lawton</t>
  </si>
  <si>
    <t>Layton</t>
  </si>
  <si>
    <t>Utah</t>
  </si>
  <si>
    <t>League City</t>
  </si>
  <si>
    <t>Lee's Summit</t>
  </si>
  <si>
    <t>Lehigh Acres</t>
  </si>
  <si>
    <t>Lewisville</t>
  </si>
  <si>
    <t>Lexington-Fayette  county</t>
  </si>
  <si>
    <t>Lincoln</t>
  </si>
  <si>
    <t>Little Rock</t>
  </si>
  <si>
    <t>Livermore</t>
  </si>
  <si>
    <t>Livonia</t>
  </si>
  <si>
    <t>Longmont</t>
  </si>
  <si>
    <t>Longview</t>
  </si>
  <si>
    <t>Lorain</t>
  </si>
  <si>
    <t>Louisville/Jefferson County metro government</t>
  </si>
  <si>
    <t>Loveland</t>
  </si>
  <si>
    <t>Lowell</t>
  </si>
  <si>
    <t>Lubbock</t>
  </si>
  <si>
    <t>Lynchburg</t>
  </si>
  <si>
    <t>Lynn</t>
  </si>
  <si>
    <t>Lynwood</t>
  </si>
  <si>
    <t>Macon</t>
  </si>
  <si>
    <t>Manchester</t>
  </si>
  <si>
    <t>New Hampshire</t>
  </si>
  <si>
    <t>Manteca</t>
  </si>
  <si>
    <t>Maple Grove</t>
  </si>
  <si>
    <t>Marysville</t>
  </si>
  <si>
    <t>Mayagüez</t>
  </si>
  <si>
    <t>McAllen</t>
  </si>
  <si>
    <t>McKinney</t>
  </si>
  <si>
    <t>Medford</t>
  </si>
  <si>
    <t>Melbourne</t>
  </si>
  <si>
    <t>Menifee</t>
  </si>
  <si>
    <t>Merced</t>
  </si>
  <si>
    <t>Meridian</t>
  </si>
  <si>
    <t>Mesquite</t>
  </si>
  <si>
    <t>Metairie</t>
  </si>
  <si>
    <t>Miami Beach</t>
  </si>
  <si>
    <t>Miami Gardens</t>
  </si>
  <si>
    <t>Midland</t>
  </si>
  <si>
    <t>Milpitas</t>
  </si>
  <si>
    <t>Miramar</t>
  </si>
  <si>
    <t>Mission</t>
  </si>
  <si>
    <t>Mission Viejo</t>
  </si>
  <si>
    <t>Missoula</t>
  </si>
  <si>
    <t>Missouri City</t>
  </si>
  <si>
    <t>Mobile</t>
  </si>
  <si>
    <t>Modesto</t>
  </si>
  <si>
    <t>Montgomery</t>
  </si>
  <si>
    <t>Moreno Valley</t>
  </si>
  <si>
    <t>Mount Pleasant</t>
  </si>
  <si>
    <t>Mount Vernon</t>
  </si>
  <si>
    <t>Mountain View</t>
  </si>
  <si>
    <t>Muncie</t>
  </si>
  <si>
    <t>Murfreesboro</t>
  </si>
  <si>
    <t>Murrieta</t>
  </si>
  <si>
    <t>Nampa</t>
  </si>
  <si>
    <t>Napa</t>
  </si>
  <si>
    <t>Naperville</t>
  </si>
  <si>
    <t>Nashua</t>
  </si>
  <si>
    <t>New Bedford</t>
  </si>
  <si>
    <t>New Braunfels</t>
  </si>
  <si>
    <t>New Britain</t>
  </si>
  <si>
    <t>New Haven</t>
  </si>
  <si>
    <t>New Rochelle</t>
  </si>
  <si>
    <t>Newport Beach</t>
  </si>
  <si>
    <t>Newport News</t>
  </si>
  <si>
    <t>Newton</t>
  </si>
  <si>
    <t>Norman</t>
  </si>
  <si>
    <t>North Charleston</t>
  </si>
  <si>
    <t>North Little Rock</t>
  </si>
  <si>
    <t>North Richland Hills</t>
  </si>
  <si>
    <t>Norwalk</t>
  </si>
  <si>
    <t>Oceanside</t>
  </si>
  <si>
    <t>Odessa</t>
  </si>
  <si>
    <t>O'Fallon</t>
  </si>
  <si>
    <t>Ogden</t>
  </si>
  <si>
    <t>Olathe</t>
  </si>
  <si>
    <t>Ontario</t>
  </si>
  <si>
    <t>Orange</t>
  </si>
  <si>
    <t>Orem</t>
  </si>
  <si>
    <t>Oshkosh</t>
  </si>
  <si>
    <t>Overland Park</t>
  </si>
  <si>
    <t>Oxnard</t>
  </si>
  <si>
    <t>Palatine</t>
  </si>
  <si>
    <t>Palm Bay</t>
  </si>
  <si>
    <t>Palm Coast</t>
  </si>
  <si>
    <t>Palmdale</t>
  </si>
  <si>
    <t>Palo Alto</t>
  </si>
  <si>
    <t>Paradise</t>
  </si>
  <si>
    <t>Parma</t>
  </si>
  <si>
    <t>Pasadena</t>
  </si>
  <si>
    <t>Pasco</t>
  </si>
  <si>
    <t>Passaic</t>
  </si>
  <si>
    <t>Paterson</t>
  </si>
  <si>
    <t>Pawtucket</t>
  </si>
  <si>
    <t>Pearland</t>
  </si>
  <si>
    <t>Pembroke Pines</t>
  </si>
  <si>
    <t>Peoria</t>
  </si>
  <si>
    <t>Perris</t>
  </si>
  <si>
    <t>Pharr</t>
  </si>
  <si>
    <t>Pine Hills</t>
  </si>
  <si>
    <t>Plantation</t>
  </si>
  <si>
    <t>Pleasanton</t>
  </si>
  <si>
    <t>Plymouth</t>
  </si>
  <si>
    <t>Poinciana</t>
  </si>
  <si>
    <t>Pomona</t>
  </si>
  <si>
    <t>Pompano Beach</t>
  </si>
  <si>
    <t>Ponce</t>
  </si>
  <si>
    <t>Port Saint Lucie</t>
  </si>
  <si>
    <t>Maine</t>
  </si>
  <si>
    <t>Portsmouth</t>
  </si>
  <si>
    <t>Providence</t>
  </si>
  <si>
    <t>Provo</t>
  </si>
  <si>
    <t>Pueblo</t>
  </si>
  <si>
    <t>Quincy</t>
  </si>
  <si>
    <t>Racine</t>
  </si>
  <si>
    <t>Raleigh</t>
  </si>
  <si>
    <t>Rancho Cordova</t>
  </si>
  <si>
    <t>Rancho Cucamonga</t>
  </si>
  <si>
    <t>Rapid City</t>
  </si>
  <si>
    <t>South Dakota</t>
  </si>
  <si>
    <t>Reading</t>
  </si>
  <si>
    <t>Redding</t>
  </si>
  <si>
    <t>Redlands</t>
  </si>
  <si>
    <t>Redondo Beach</t>
  </si>
  <si>
    <t>Redwood City</t>
  </si>
  <si>
    <t>Renton</t>
  </si>
  <si>
    <t>Rialto</t>
  </si>
  <si>
    <t>Richardson</t>
  </si>
  <si>
    <t>Richmond</t>
  </si>
  <si>
    <t>Rio Rancho</t>
  </si>
  <si>
    <t>Riverview</t>
  </si>
  <si>
    <t>Roanoke</t>
  </si>
  <si>
    <t>Rochester</t>
  </si>
  <si>
    <t>Rochester Hills</t>
  </si>
  <si>
    <t>Rock Hill</t>
  </si>
  <si>
    <t>Rockford</t>
  </si>
  <si>
    <t>Rockville</t>
  </si>
  <si>
    <t>Roseville</t>
  </si>
  <si>
    <t>Roswell</t>
  </si>
  <si>
    <t>Round Rock</t>
  </si>
  <si>
    <t>Saint Charles</t>
  </si>
  <si>
    <t>Saint Cloud</t>
  </si>
  <si>
    <t>Saint George</t>
  </si>
  <si>
    <t>Saint Joseph</t>
  </si>
  <si>
    <t>Saint Louis</t>
  </si>
  <si>
    <t>Saint Paul</t>
  </si>
  <si>
    <t>Saint Petersburg</t>
  </si>
  <si>
    <t>Salem</t>
  </si>
  <si>
    <t>Salinas</t>
  </si>
  <si>
    <t>Salt Lake City</t>
  </si>
  <si>
    <t>San Angelo</t>
  </si>
  <si>
    <t>San Buenaventura</t>
  </si>
  <si>
    <t>San Clemente</t>
  </si>
  <si>
    <t>San Juan</t>
  </si>
  <si>
    <t>San Leandro</t>
  </si>
  <si>
    <t>San Marcos</t>
  </si>
  <si>
    <t>San Mateo</t>
  </si>
  <si>
    <t>San Ramon</t>
  </si>
  <si>
    <t>San Tan Valley</t>
  </si>
  <si>
    <t>Sandy</t>
  </si>
  <si>
    <t>Sandy Springs</t>
  </si>
  <si>
    <t>Santa Barbara</t>
  </si>
  <si>
    <t>Santa Clarita</t>
  </si>
  <si>
    <t>Santa Fe</t>
  </si>
  <si>
    <t>Santa Maria</t>
  </si>
  <si>
    <t>Santa Monica</t>
  </si>
  <si>
    <t>Santa Rosa</t>
  </si>
  <si>
    <t>Schaumburg</t>
  </si>
  <si>
    <t>Schenectady</t>
  </si>
  <si>
    <t>Scranton</t>
  </si>
  <si>
    <t>Shawnee</t>
  </si>
  <si>
    <t>Shreveport</t>
  </si>
  <si>
    <t>Silver Spring</t>
  </si>
  <si>
    <t>Simi Valley</t>
  </si>
  <si>
    <t>Sioux City</t>
  </si>
  <si>
    <t>Sioux Falls</t>
  </si>
  <si>
    <t>Skokie</t>
  </si>
  <si>
    <t>Somerville</t>
  </si>
  <si>
    <t>South Bend</t>
  </si>
  <si>
    <t>South Gate</t>
  </si>
  <si>
    <t>South Jordan</t>
  </si>
  <si>
    <t>South San Francisco</t>
  </si>
  <si>
    <t>Southfield</t>
  </si>
  <si>
    <t>Sparks</t>
  </si>
  <si>
    <t>Spokane Valley</t>
  </si>
  <si>
    <t>Spring Hill</t>
  </si>
  <si>
    <t>Spring Valley</t>
  </si>
  <si>
    <t>Springdale</t>
  </si>
  <si>
    <t>Springfield</t>
  </si>
  <si>
    <t>Stamford</t>
  </si>
  <si>
    <t>Sterling Heights</t>
  </si>
  <si>
    <t>Stockton</t>
  </si>
  <si>
    <t>Suffolk</t>
  </si>
  <si>
    <t>Sugar Land</t>
  </si>
  <si>
    <t>Sunnyvale</t>
  </si>
  <si>
    <t>Sunrise</t>
  </si>
  <si>
    <t>Sunrise Manor</t>
  </si>
  <si>
    <t>Surprise</t>
  </si>
  <si>
    <t>Syracuse</t>
  </si>
  <si>
    <t>Tacoma</t>
  </si>
  <si>
    <t>Tallahassee</t>
  </si>
  <si>
    <t>Temecula</t>
  </si>
  <si>
    <t>Tempe</t>
  </si>
  <si>
    <t>Temple</t>
  </si>
  <si>
    <t>The Villages</t>
  </si>
  <si>
    <t>The Woodlands</t>
  </si>
  <si>
    <t>Thornton</t>
  </si>
  <si>
    <t>Thousand Oaks</t>
  </si>
  <si>
    <t>Toledo</t>
  </si>
  <si>
    <t>Toms River</t>
  </si>
  <si>
    <t>Topeka</t>
  </si>
  <si>
    <t>Torrance</t>
  </si>
  <si>
    <t>Town 'n' Country</t>
  </si>
  <si>
    <t>Tracy</t>
  </si>
  <si>
    <t>Trenton</t>
  </si>
  <si>
    <t>Troy</t>
  </si>
  <si>
    <t>Turlock</t>
  </si>
  <si>
    <t>Tuscaloosa</t>
  </si>
  <si>
    <t>Tustin</t>
  </si>
  <si>
    <t>Tyler</t>
  </si>
  <si>
    <t>Union City</t>
  </si>
  <si>
    <t>Upland</t>
  </si>
  <si>
    <t>Urban Honolulu</t>
  </si>
  <si>
    <t>Vacaville</t>
  </si>
  <si>
    <t>Vallejo</t>
  </si>
  <si>
    <t>Vancouver</t>
  </si>
  <si>
    <t>Victoria</t>
  </si>
  <si>
    <t>Victorville</t>
  </si>
  <si>
    <t>Visalia</t>
  </si>
  <si>
    <t>Vista</t>
  </si>
  <si>
    <t>Waco</t>
  </si>
  <si>
    <t>Waldorf</t>
  </si>
  <si>
    <t>Walnut Creek</t>
  </si>
  <si>
    <t>Warner Robins</t>
  </si>
  <si>
    <t>Warren</t>
  </si>
  <si>
    <t>Warwick</t>
  </si>
  <si>
    <t>Waterbury</t>
  </si>
  <si>
    <t>Waterloo</t>
  </si>
  <si>
    <t>Waukegan</t>
  </si>
  <si>
    <t>Waukesha</t>
  </si>
  <si>
    <t>West Covina</t>
  </si>
  <si>
    <t>West Jordan</t>
  </si>
  <si>
    <t>West Palm Beach</t>
  </si>
  <si>
    <t>West Valley City</t>
  </si>
  <si>
    <t>Westland</t>
  </si>
  <si>
    <t>Westminster</t>
  </si>
  <si>
    <t>Weston</t>
  </si>
  <si>
    <t>Whittier</t>
  </si>
  <si>
    <t>Wichita Falls</t>
  </si>
  <si>
    <t>Wilmington</t>
  </si>
  <si>
    <t>Delaware</t>
  </si>
  <si>
    <t>Winston-Salem</t>
  </si>
  <si>
    <t>Woodbury</t>
  </si>
  <si>
    <t>Worcester</t>
  </si>
  <si>
    <t>Wyoming</t>
  </si>
  <si>
    <t>Yakima</t>
  </si>
  <si>
    <t>Yonkers</t>
  </si>
  <si>
    <t>Yorba Linda</t>
  </si>
  <si>
    <t>Youngs</t>
  </si>
  <si>
    <t>Yuba City</t>
  </si>
  <si>
    <t>Yuma</t>
  </si>
  <si>
    <t>Sates</t>
  </si>
  <si>
    <t>Purchasing power</t>
  </si>
  <si>
    <t>Safety</t>
  </si>
  <si>
    <t>Healthcare</t>
  </si>
  <si>
    <t>Cost of Living</t>
  </si>
  <si>
    <t>Property Price to income ratio</t>
  </si>
  <si>
    <t>Traffic commute time</t>
  </si>
  <si>
    <t>Pollution</t>
  </si>
  <si>
    <t>Climate</t>
  </si>
  <si>
    <t>Quality of Life index</t>
  </si>
  <si>
    <t xml:space="preserve"> TX</t>
  </si>
  <si>
    <t xml:space="preserve"> CA</t>
  </si>
  <si>
    <t xml:space="preserve"> HI</t>
  </si>
  <si>
    <t xml:space="preserve"> GA</t>
  </si>
  <si>
    <t xml:space="preserve"> WA</t>
  </si>
  <si>
    <t xml:space="preserve"> PA</t>
  </si>
  <si>
    <t xml:space="preserve"> MA</t>
  </si>
  <si>
    <t xml:space="preserve"> DC</t>
  </si>
  <si>
    <t xml:space="preserve"> FL</t>
  </si>
  <si>
    <t xml:space="preserve"> NC</t>
  </si>
  <si>
    <t xml:space="preserve"> CO</t>
  </si>
  <si>
    <t xml:space="preserve"> IL</t>
  </si>
  <si>
    <t xml:space="preserve"> OR</t>
  </si>
  <si>
    <t xml:space="preserve"> TN</t>
  </si>
  <si>
    <t xml:space="preserve"> MN</t>
  </si>
  <si>
    <t xml:space="preserve"> OH</t>
  </si>
  <si>
    <t xml:space="preserve"> WI</t>
  </si>
  <si>
    <t xml:space="preserve"> NV</t>
  </si>
  <si>
    <t xml:space="preserve"> AZ</t>
  </si>
  <si>
    <t xml:space="preserve"> UT</t>
  </si>
  <si>
    <t xml:space="preserve"> NY</t>
  </si>
  <si>
    <t xml:space="preserve"> ID</t>
  </si>
  <si>
    <t>Cost of Living w/o rent</t>
  </si>
  <si>
    <t>Quality of Life</t>
  </si>
  <si>
    <t>Job Title</t>
  </si>
  <si>
    <t>Avg Data Analyst Salary</t>
  </si>
  <si>
    <t>Data Analyst</t>
  </si>
  <si>
    <t>MAX SALARY</t>
  </si>
  <si>
    <t>MIN SALARY</t>
  </si>
  <si>
    <t>Atlana</t>
  </si>
  <si>
    <t>Column Labels</t>
  </si>
  <si>
    <t>Values</t>
  </si>
  <si>
    <t xml:space="preserve">Out of </t>
  </si>
  <si>
    <t>the median age in</t>
  </si>
  <si>
    <t>is</t>
  </si>
  <si>
    <t>Proportion of Males</t>
  </si>
  <si>
    <t>Proportion of Females</t>
  </si>
  <si>
    <t>Washington D.C</t>
  </si>
  <si>
    <t>Overall Rank</t>
  </si>
  <si>
    <t>Total Score </t>
  </si>
  <si>
    <t>Affordability Rank </t>
  </si>
  <si>
    <t>Diversity, Accessibility &amp; Quality Rank </t>
  </si>
  <si>
    <t>Miami, FL</t>
  </si>
  <si>
    <t>San Francisco, CA</t>
  </si>
  <si>
    <t>Orlando, FL</t>
  </si>
  <si>
    <t>Portland, OR</t>
  </si>
  <si>
    <t>Tampa, FL</t>
  </si>
  <si>
    <t>Sacramento, CA</t>
  </si>
  <si>
    <t>Las Vegas, NV</t>
  </si>
  <si>
    <t>Seattle, WA</t>
  </si>
  <si>
    <t>Denver, CO</t>
  </si>
  <si>
    <t>San Diego, CA</t>
  </si>
  <si>
    <t>Atlanta, GA</t>
  </si>
  <si>
    <t>St. Louis, MO</t>
  </si>
  <si>
    <t>Los Angeles, CA</t>
  </si>
  <si>
    <t>Austin, TX</t>
  </si>
  <si>
    <t>Pittsburgh, PA</t>
  </si>
  <si>
    <t>New York, NY</t>
  </si>
  <si>
    <t>Richmond, VA</t>
  </si>
  <si>
    <t>Chicago, IL</t>
  </si>
  <si>
    <t>Fort Lauderdale, FL</t>
  </si>
  <si>
    <t>Washington, DC</t>
  </si>
  <si>
    <t>San Antonio, TX</t>
  </si>
  <si>
    <t>Cincinnati, OH</t>
  </si>
  <si>
    <t>Milwaukee, WI</t>
  </si>
  <si>
    <t>Houston, TX</t>
  </si>
  <si>
    <t>Portland, ME</t>
  </si>
  <si>
    <t>Philadelphia, PA</t>
  </si>
  <si>
    <t>Wilmington, DE</t>
  </si>
  <si>
    <t>Honolulu, HI</t>
  </si>
  <si>
    <t>Phoenix, AZ</t>
  </si>
  <si>
    <t>Oakland, CA</t>
  </si>
  <si>
    <t>Grand Rapids, MI</t>
  </si>
  <si>
    <t>Buffalo, NY</t>
  </si>
  <si>
    <t>Salt Lake City, UT</t>
  </si>
  <si>
    <t>St. Petersburg, FL</t>
  </si>
  <si>
    <t>Scottsdale, AZ</t>
  </si>
  <si>
    <t>New Orleans, LA</t>
  </si>
  <si>
    <t>Minneapolis, MN</t>
  </si>
  <si>
    <t>Charleston, SC</t>
  </si>
  <si>
    <t>San Jose, CA</t>
  </si>
  <si>
    <t>Reno, NV</t>
  </si>
  <si>
    <t>Louisville, KY</t>
  </si>
  <si>
    <t>Charlotte, NC</t>
  </si>
  <si>
    <t>Vancouver, WA</t>
  </si>
  <si>
    <t>Raleigh, NC</t>
  </si>
  <si>
    <t>Boston, MA</t>
  </si>
  <si>
    <t>Rochester, NY</t>
  </si>
  <si>
    <t>Indianapolis, IN</t>
  </si>
  <si>
    <t>Tucson, AZ</t>
  </si>
  <si>
    <t>Virginia Beach, VA</t>
  </si>
  <si>
    <t>Cleveland, OH</t>
  </si>
  <si>
    <t>Nashville, TN</t>
  </si>
  <si>
    <t>Springfield, MO</t>
  </si>
  <si>
    <t>Jersey City, NJ</t>
  </si>
  <si>
    <t>Bakersfield, CA</t>
  </si>
  <si>
    <t>El Paso, TX</t>
  </si>
  <si>
    <t>Anaheim, CA</t>
  </si>
  <si>
    <t>Modesto, CA</t>
  </si>
  <si>
    <t>Manchester, NH</t>
  </si>
  <si>
    <t>Aurora, CO</t>
  </si>
  <si>
    <t>Omaha, NE</t>
  </si>
  <si>
    <t>Fresno, CA</t>
  </si>
  <si>
    <t>Stockton, CA</t>
  </si>
  <si>
    <t>Madison, WI</t>
  </si>
  <si>
    <t>Dallas, TX</t>
  </si>
  <si>
    <t>Providence, RI</t>
  </si>
  <si>
    <t>Newark, NJ</t>
  </si>
  <si>
    <t>Jacksonville, FL</t>
  </si>
  <si>
    <t>Columbus, OH</t>
  </si>
  <si>
    <t>Baltimore, MD</t>
  </si>
  <si>
    <t>St. Paul, MN</t>
  </si>
  <si>
    <t>Salem, OR</t>
  </si>
  <si>
    <t>Santa Ana, CA</t>
  </si>
  <si>
    <t>Long Beach, CA</t>
  </si>
  <si>
    <t>Tulsa, OK</t>
  </si>
  <si>
    <t>Burlington, VT</t>
  </si>
  <si>
    <t>Colorado Springs, CO</t>
  </si>
  <si>
    <t>Des Moines, IA</t>
  </si>
  <si>
    <t>Lincoln, NE</t>
  </si>
  <si>
    <t>Albuquerque, NM</t>
  </si>
  <si>
    <t>Greensboro, NC</t>
  </si>
  <si>
    <t>Billings, MT</t>
  </si>
  <si>
    <t>Columbia, SC</t>
  </si>
  <si>
    <t>Tempe, AZ</t>
  </si>
  <si>
    <t>Detroit, MI</t>
  </si>
  <si>
    <t>Oklahoma City, OK</t>
  </si>
  <si>
    <t>Spokane, WA</t>
  </si>
  <si>
    <t>Sioux Falls, SD</t>
  </si>
  <si>
    <t>Knoxville, TN</t>
  </si>
  <si>
    <t>Tallahassee, FL</t>
  </si>
  <si>
    <t>Santa Rosa, CA</t>
  </si>
  <si>
    <t>New Haven, CT</t>
  </si>
  <si>
    <t>Mesa, AZ</t>
  </si>
  <si>
    <t>Cedar Rapids, IA</t>
  </si>
  <si>
    <t>Garden Grove, CA</t>
  </si>
  <si>
    <t>Nashua, NH</t>
  </si>
  <si>
    <t>Fort Worth, TX</t>
  </si>
  <si>
    <t>Toledo, OH</t>
  </si>
  <si>
    <t>Fargo, ND</t>
  </si>
  <si>
    <t>Amarillo, TX</t>
  </si>
  <si>
    <t>Dover, DE</t>
  </si>
  <si>
    <t>Missoula, MT</t>
  </si>
  <si>
    <t>Lexington-Fayette, KY</t>
  </si>
  <si>
    <t>Cape Coral, FL</t>
  </si>
  <si>
    <t>Tacoma, WA</t>
  </si>
  <si>
    <t>Hialeah, FL</t>
  </si>
  <si>
    <t>Kansas City, MO</t>
  </si>
  <si>
    <t>Durham, NC</t>
  </si>
  <si>
    <t>Corpus Christi, TX</t>
  </si>
  <si>
    <t>Pembroke Pines, FL</t>
  </si>
  <si>
    <t>Rapid City, SD</t>
  </si>
  <si>
    <t>Oxnard, CA</t>
  </si>
  <si>
    <t>Wichita, KS</t>
  </si>
  <si>
    <t>Baton Rouge, LA</t>
  </si>
  <si>
    <t>Newport News, VA</t>
  </si>
  <si>
    <t>Glendale, AZ</t>
  </si>
  <si>
    <t>Plano, TX</t>
  </si>
  <si>
    <t>Norfolk, VA</t>
  </si>
  <si>
    <t>Worcester, MA</t>
  </si>
  <si>
    <t>South Burlington, VT</t>
  </si>
  <si>
    <t>Irving, TX</t>
  </si>
  <si>
    <t>Bridgeport, CT</t>
  </si>
  <si>
    <t>Casper, WY</t>
  </si>
  <si>
    <t>Huntington Beach, CA</t>
  </si>
  <si>
    <t>Birmingham, AL</t>
  </si>
  <si>
    <t>Fort Wayne, IN</t>
  </si>
  <si>
    <t>Brownsville, TX</t>
  </si>
  <si>
    <t>Fort Smith, AR</t>
  </si>
  <si>
    <t>Winston-Salem, NC</t>
  </si>
  <si>
    <t>Riverside, CA</t>
  </si>
  <si>
    <t>Boise, ID</t>
  </si>
  <si>
    <t>Irvine, CA</t>
  </si>
  <si>
    <t>Chesapeake, VA</t>
  </si>
  <si>
    <t>Oceanside, CA</t>
  </si>
  <si>
    <t>Garland, TX</t>
  </si>
  <si>
    <t>Chandler, AZ</t>
  </si>
  <si>
    <t>Chattanooga, TN</t>
  </si>
  <si>
    <t>Overland Park, KS</t>
  </si>
  <si>
    <t>Bismarck, ND</t>
  </si>
  <si>
    <t>Santa Clarita, CA</t>
  </si>
  <si>
    <t>Glendale, CA</t>
  </si>
  <si>
    <t>Huntington, WV</t>
  </si>
  <si>
    <t>Warwick, RI</t>
  </si>
  <si>
    <t>Aurora, IL</t>
  </si>
  <si>
    <t>Fayetteville, NC</t>
  </si>
  <si>
    <t>Lubbock, TX</t>
  </si>
  <si>
    <t>Charleston, WV</t>
  </si>
  <si>
    <t>Akron, OH</t>
  </si>
  <si>
    <t>Arlington, TX</t>
  </si>
  <si>
    <t>Anchorage, AK</t>
  </si>
  <si>
    <t>Laredo, TX</t>
  </si>
  <si>
    <t>North Las Vegas, NV</t>
  </si>
  <si>
    <t>Gilbert, AZ</t>
  </si>
  <si>
    <t>Yonkers, NY</t>
  </si>
  <si>
    <t>Memphis, TN</t>
  </si>
  <si>
    <t>Little Rock, AR</t>
  </si>
  <si>
    <t>Mobile, AL</t>
  </si>
  <si>
    <t>Chula Vista, CA</t>
  </si>
  <si>
    <t>Huntsville, AL</t>
  </si>
  <si>
    <t>Columbus, GA</t>
  </si>
  <si>
    <t>Fremont, CA</t>
  </si>
  <si>
    <t>Cheyenne, WY</t>
  </si>
  <si>
    <t>Fontana, CA</t>
  </si>
  <si>
    <t>Henderson, NV</t>
  </si>
  <si>
    <t>Las Cruces, NM</t>
  </si>
  <si>
    <t>Columbia, MD</t>
  </si>
  <si>
    <t>Rancho Cucamonga, CA</t>
  </si>
  <si>
    <t>Ontario, CA</t>
  </si>
  <si>
    <t>Port St. Lucie, FL</t>
  </si>
  <si>
    <t>Juneau, AK</t>
  </si>
  <si>
    <t>Gulfport, MS</t>
  </si>
  <si>
    <t>Peoria, AZ</t>
  </si>
  <si>
    <t>Augusta, GA</t>
  </si>
  <si>
    <t>San Bernardino, CA</t>
  </si>
  <si>
    <t>Grand Prairie, TX</t>
  </si>
  <si>
    <t>Lewiston, ME</t>
  </si>
  <si>
    <t>Moreno Valley, CA</t>
  </si>
  <si>
    <t>West Valley City, UT</t>
  </si>
  <si>
    <t>Shreveport, LA</t>
  </si>
  <si>
    <t>Jackson, MS</t>
  </si>
  <si>
    <t>Nampa, ID</t>
  </si>
  <si>
    <t>Montgomery, AL</t>
  </si>
  <si>
    <t>Pearl City, HI</t>
  </si>
  <si>
    <t>Rank in Best "Foodie" Cities</t>
  </si>
  <si>
    <t>"Foodie" meaning “the best and cheapest” cities for consumers for whom eating is an experience, hobby, and/or lifestyle</t>
  </si>
  <si>
    <t>Affordability</t>
  </si>
  <si>
    <t>Overall Best Foodie Cities Rank</t>
  </si>
  <si>
    <t>NYC</t>
  </si>
  <si>
    <t>Affordability (up to 30 points)</t>
  </si>
  <si>
    <t>Diversity, Accessbility &amp; Quality (up to 70 points)</t>
  </si>
  <si>
    <t>Accessibility &amp; Affordability of High-Quality Restaurants: Full Weight (Note: This metric measures the prevalence of affordable restaurants with ratings of at least 4.5 stars.)</t>
  </si>
  <si>
    <t>Average Beer &amp; Wine Price: Full Weight (the average price, excluding any deposit, of a six-pack of 12-ounce Heineken containers, and “Average Wine Price” refers to the average price of a 1.5-liter bottle of Chablis or Chenin Blanc or any white table wine.)</t>
  </si>
  <si>
    <t xml:space="preserve">Cost of Groceries: Double Weight </t>
  </si>
  <si>
    <t>Restaurant Meal Cost: Double Weight</t>
  </si>
  <si>
    <t>Sales Tax: Full Weight</t>
  </si>
  <si>
    <t xml:space="preserve">Food Tax: Full Weight </t>
  </si>
  <si>
    <t xml:space="preserve">Restaurants per Capita*: Triple Weight </t>
  </si>
  <si>
    <t xml:space="preserve">Ratio of Full-Service Restaurants to Fast-Food Establishments: Triple Weight </t>
  </si>
  <si>
    <t xml:space="preserve">Growth in Number of Full Service Restaurants (2022 vs 2017): Full Weight </t>
  </si>
  <si>
    <t xml:space="preserve">Restaurant Diversity: Full Weight </t>
  </si>
  <si>
    <t xml:space="preserve">Presence of Michelin-Starred Restaurants: Full Weight </t>
  </si>
  <si>
    <t xml:space="preserve">Average Ranking of Restaurants on Yelp’s “Top 100 Places to Eat in the U.S.” List: Full Weight </t>
  </si>
  <si>
    <t xml:space="preserve">Food Trucks per Capita*: Full Weight </t>
  </si>
  <si>
    <t xml:space="preserve">Access to Healthy Food Options: Double Weight </t>
  </si>
  <si>
    <t>Farmers Markets &amp; CSA Programs per Capita*: Full Weight</t>
  </si>
  <si>
    <t xml:space="preserve">Food Freshness: Full Weight </t>
  </si>
  <si>
    <t xml:space="preserve">Ice Cream &amp; Frozen Yogurt Shops per Capita*: Full Weight </t>
  </si>
  <si>
    <t xml:space="preserve">Craft Breweries &amp; Wine Bars per Capita*: Full Weight </t>
  </si>
  <si>
    <t>Coffee &amp; Tea Shops per Capita*: Full Weight</t>
  </si>
  <si>
    <t xml:space="preserve">Gourmet Specialty-Food Stores per Capita*: Full Weight </t>
  </si>
  <si>
    <t xml:space="preserve">Grocery Stores per Capita*: Full Weight </t>
  </si>
  <si>
    <t xml:space="preserve">International Grocery Stores per Capita*: Half Weight </t>
  </si>
  <si>
    <t xml:space="preserve">Butcher Shops per Capita*: Full Weight </t>
  </si>
  <si>
    <t xml:space="preserve">Herbs &amp; Spices Stores per Capita*: Half Weight </t>
  </si>
  <si>
    <t xml:space="preserve">Kitchen Supplies Stores per Capita*: Full Weight </t>
  </si>
  <si>
    <t xml:space="preserve">Food Festivals per Capita*: Full Weight </t>
  </si>
  <si>
    <t xml:space="preserve">Cooking Schools per Capita*: Full Weight </t>
  </si>
  <si>
    <t xml:space="preserve">Food &amp; Wine Tours per Capita*: Full Weight </t>
  </si>
  <si>
    <t>Total</t>
  </si>
  <si>
    <t>City:</t>
  </si>
  <si>
    <t>Diversity, Accessibility &amp; Quality</t>
  </si>
  <si>
    <t xml:space="preserve">Affordability </t>
  </si>
  <si>
    <t xml:space="preserve">Overall Best Foodie Cities </t>
  </si>
  <si>
    <t>Overall Best Foodie Cities</t>
  </si>
  <si>
    <t>Salary: </t>
  </si>
  <si>
    <t>https://www.indeed.com/career/data-analyst/salaries/Boston--MA?from=top_sb </t>
  </si>
  <si>
    <t>Quality of life:</t>
  </si>
  <si>
    <t>About Quality of Life Indexes (numbeo.com)</t>
  </si>
  <si>
    <t>Northern America: Current Quality of Life Index by City (numbeo.com)</t>
  </si>
  <si>
    <t>Crime: https://www.kaggle.com/datasets/kabhishm/united-states-crime-rates-by-city-population</t>
  </si>
  <si>
    <t>Cost of living:</t>
  </si>
  <si>
    <t>Cost of Living in Austin, Texas. Dec 2024. Prices in Austin (numbeo.com)</t>
  </si>
  <si>
    <t>Best foodie cities:</t>
  </si>
  <si>
    <t>https://krghospitality.com/2023/11/17/wallethub-ranks-best-foodie-cities-in-us/</t>
  </si>
  <si>
    <t>https://wallethub.com/edu/best-foodie-cities/7522</t>
  </si>
  <si>
    <t xml:space="preserve">Age demographic: </t>
  </si>
  <si>
    <t xml:space="preserve">https://public.opendatasoft.com/explore/dataset/us-cities-demographics/export/?flg=en-us&amp;sort=city </t>
  </si>
  <si>
    <t>Total Propert Crime</t>
  </si>
  <si>
    <t>Total Crimes</t>
  </si>
  <si>
    <t>Total Violent Crimes</t>
  </si>
  <si>
    <t>Total Property Crimes</t>
  </si>
  <si>
    <t>Welcome to Our Dashboard on the Best City to Live In!</t>
  </si>
  <si>
    <r>
      <rPr>
        <b/>
        <sz val="12"/>
        <color theme="1"/>
        <rFont val="Aptos Narrow"/>
        <scheme val="minor"/>
      </rPr>
      <t>Some Helpful Tips:</t>
    </r>
    <r>
      <rPr>
        <sz val="12"/>
        <color theme="1"/>
        <rFont val="Aptos Narrow"/>
        <scheme val="minor"/>
      </rPr>
      <t xml:space="preserve"> 
- When looking at the quality of life boxes, to find our drop down, click on the city name in cell K7! 
- Use our slicer to control the crime, age, population, and food stats! 
- When using our buttons to find our salaries, make sure to be in cell N2 before hitting each button!</t>
    </r>
  </si>
  <si>
    <t>By: Dan Cahill, Vy Duong, Ben Luong</t>
  </si>
  <si>
    <t>Click here to go
 to the dashboard!</t>
  </si>
  <si>
    <t>Click here to 
see our sources!</t>
  </si>
  <si>
    <t>Source Links</t>
  </si>
  <si>
    <t>Click here to go
 to the home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</si>
</sst>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_(&quot;$&quot;* \(#,##0\);_(&quot;$&quot;* &quot;-&quot;_);_(@_)"/>
    <numFmt numFmtId="43" formatCode="_(* #,##0.00_);_(* \(#,##0.00\);_(* &quot;-&quot;??_);_(@_)"/>
    <numFmt numFmtId="164" formatCode="&quot;$&quot;#,##0"/>
    <numFmt numFmtId="165" formatCode="&quot;$&quot;#,##0.00"/>
  </numFmts>
  <fonts count="35">
    <font>
      <sz val="12"/>
      <color theme="1"/>
      <name val="Aptos Narrow"/>
      <family val="2"/>
      <scheme val="minor"/>
    </font>
    <font>
      <b/>
      <sz val="12"/>
      <color theme="0"/>
      <name val="Aptos Narrow"/>
      <family val="2"/>
      <scheme val="minor"/>
    </font>
    <font>
      <sz val="20"/>
      <color theme="1"/>
      <name val="Aptos Narrow"/>
      <family val="2"/>
      <scheme val="minor"/>
    </font>
    <font>
      <sz val="28"/>
      <color theme="1"/>
      <name val="Times New Roman"/>
      <family val="1"/>
    </font>
    <font>
      <sz val="20"/>
      <name val="Aptos Narrow"/>
      <family val="2"/>
      <scheme val="minor"/>
    </font>
    <font>
      <b/>
      <sz val="16"/>
      <color theme="1"/>
      <name val="Aptos Narrow"/>
      <family val="2"/>
      <scheme val="minor"/>
    </font>
    <font>
      <b/>
      <sz val="18"/>
      <color theme="1"/>
      <name val="Aptos Narrow"/>
      <family val="2"/>
      <scheme val="minor"/>
    </font>
    <font>
      <b/>
      <sz val="14"/>
      <color theme="1"/>
      <name val="Aptos Narrow"/>
      <family val="2"/>
      <scheme val="minor"/>
    </font>
    <font>
      <b/>
      <sz val="15"/>
      <color theme="1"/>
      <name val="Aptos Narrow"/>
      <family val="2"/>
      <scheme val="minor"/>
    </font>
    <font>
      <sz val="12"/>
      <color theme="1"/>
      <name val="Aptos Narrow"/>
      <family val="2"/>
      <scheme val="minor"/>
    </font>
    <font>
      <b/>
      <sz val="20"/>
      <color theme="1"/>
      <name val="Aptos Narrow"/>
      <family val="2"/>
      <scheme val="minor"/>
    </font>
    <font>
      <b/>
      <sz val="22"/>
      <color theme="1"/>
      <name val="Aptos Narrow"/>
      <family val="2"/>
      <scheme val="minor"/>
    </font>
    <font>
      <b/>
      <sz val="28"/>
      <color theme="1"/>
      <name val="Aptos Narrow"/>
      <family val="2"/>
      <scheme val="minor"/>
    </font>
    <font>
      <b/>
      <sz val="72"/>
      <color theme="1"/>
      <name val="Aptos Narrow"/>
      <family val="2"/>
      <scheme val="minor"/>
    </font>
    <font>
      <sz val="8"/>
      <name val="Aptos Narrow"/>
      <family val="2"/>
      <scheme val="minor"/>
    </font>
    <font>
      <b/>
      <sz val="12"/>
      <color rgb="FFFA7D00"/>
      <name val="Aptos Narrow"/>
      <family val="2"/>
      <scheme val="minor"/>
    </font>
    <font>
      <b/>
      <sz val="16"/>
      <color theme="1"/>
      <name val="Aptos Narrow"/>
      <family val="2"/>
      <scheme val="minor"/>
    </font>
    <font>
      <b/>
      <sz val="22"/>
      <color theme="1"/>
      <name val="Aptos Narrow"/>
      <family val="2"/>
      <scheme val="minor"/>
    </font>
    <font>
      <sz val="11"/>
      <color rgb="FF000000"/>
      <name val="Arial"/>
      <family val="2"/>
    </font>
    <font>
      <u/>
      <sz val="12"/>
      <color theme="10"/>
      <name val="Aptos Narrow"/>
      <family val="2"/>
      <scheme val="minor"/>
    </font>
    <font>
      <b/>
      <sz val="13.5"/>
      <color theme="1"/>
      <name val="Aptos Narrow"/>
      <family val="2"/>
      <scheme val="minor"/>
    </font>
    <font>
      <sz val="12"/>
      <color rgb="FF000000"/>
      <name val="Aptos Narrow"/>
    </font>
    <font>
      <sz val="28"/>
      <color theme="1"/>
      <name val="Aptos Narrow"/>
      <family val="2"/>
      <scheme val="minor"/>
    </font>
    <font>
      <b/>
      <sz val="12"/>
      <color theme="1"/>
      <name val="Aptos Narrow"/>
      <scheme val="minor"/>
    </font>
    <font>
      <sz val="12"/>
      <color theme="1"/>
      <name val="Aptos Narrow"/>
      <scheme val="minor"/>
    </font>
    <font>
      <b/>
      <sz val="14"/>
      <color theme="1"/>
      <name val="Aptos Narrow"/>
      <scheme val="minor"/>
    </font>
    <font>
      <sz val="12"/>
      <name val="Aptos Narrow"/>
    </font>
    <font>
      <b/>
      <sz val="18"/>
      <color theme="1"/>
      <name val="Aptos Narrow"/>
      <scheme val="minor"/>
    </font>
    <font>
      <sz val="12"/>
      <color rgb="FF000000"/>
      <name val="Aptos Narrow"/>
      <family val="2"/>
      <scheme val="minor"/>
    </font>
    <font>
      <sz val="12"/>
      <name val="Aptos Narrow"/>
      <scheme val="minor"/>
    </font>
    <font>
      <b/>
      <sz val="14"/>
      <color rgb="FF000000"/>
      <name val="Aptos Narrow"/>
      <scheme val="minor"/>
    </font>
    <font>
      <sz val="16"/>
      <name val="Aptos Narrow"/>
    </font>
    <font>
      <sz val="18"/>
      <name val="Aptos Narrow"/>
    </font>
    <font>
      <b/>
      <sz val="20"/>
      <color theme="1"/>
      <name val="Aptos Narrow"/>
      <scheme val="minor"/>
    </font>
    <font>
      <sz val="18"/>
      <color rgb="FF000000"/>
      <name val="Aptos Narrow"/>
    </font>
  </fonts>
  <fills count="11">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8"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rgb="FFF2F2F2"/>
      </patternFill>
    </fill>
    <fill>
      <patternFill patternType="solid">
        <fgColor rgb="FF782170"/>
        <bgColor rgb="FF000000"/>
      </patternFill>
    </fill>
    <fill>
      <patternFill patternType="solid">
        <fgColor theme="8" tint="-0.249977111117893"/>
        <bgColor rgb="FF000000"/>
      </patternFill>
    </fill>
    <fill>
      <patternFill patternType="solid">
        <fgColor theme="8" tint="0.59999389629810485"/>
        <bgColor rgb="FF000000"/>
      </patternFill>
    </fill>
  </fills>
  <borders count="22">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s>
  <cellStyleXfs count="4">
    <xf numFmtId="0" fontId="0" fillId="0" borderId="0"/>
    <xf numFmtId="43" fontId="9" fillId="0" borderId="0" applyFont="0" applyFill="0" applyBorder="0" applyAlignment="0" applyProtection="0"/>
    <xf numFmtId="0" fontId="15" fillId="7" borderId="17" applyNumberFormat="0" applyAlignment="0" applyProtection="0"/>
    <xf numFmtId="0" fontId="19" fillId="0" borderId="0" applyNumberFormat="0" applyFill="0" applyBorder="0" applyAlignment="0" applyProtection="0"/>
  </cellStyleXfs>
  <cellXfs count="209">
    <xf numFmtId="0" fontId="0" fillId="0" borderId="0" xfId="0"/>
    <xf numFmtId="42" fontId="0" fillId="0" borderId="0" xfId="0" applyNumberFormat="1"/>
    <xf numFmtId="0" fontId="0" fillId="0" borderId="1" xfId="0" applyBorder="1"/>
    <xf numFmtId="0" fontId="0" fillId="0" borderId="2" xfId="0" applyBorder="1"/>
    <xf numFmtId="0" fontId="0" fillId="4" borderId="0" xfId="0" applyFill="1"/>
    <xf numFmtId="0" fontId="0" fillId="5" borderId="7" xfId="0" applyFill="1" applyBorder="1"/>
    <xf numFmtId="0" fontId="0" fillId="5" borderId="8" xfId="0" applyFill="1" applyBorder="1"/>
    <xf numFmtId="0" fontId="0" fillId="5" borderId="9" xfId="0" applyFill="1" applyBorder="1"/>
    <xf numFmtId="0" fontId="0" fillId="5" borderId="10" xfId="0" applyFill="1" applyBorder="1"/>
    <xf numFmtId="0" fontId="1" fillId="3" borderId="4" xfId="0" applyFont="1" applyFill="1" applyBorder="1"/>
    <xf numFmtId="0" fontId="1" fillId="3" borderId="5" xfId="0" applyFont="1" applyFill="1" applyBorder="1"/>
    <xf numFmtId="42" fontId="1" fillId="3" borderId="6" xfId="0" applyNumberFormat="1" applyFont="1" applyFill="1" applyBorder="1"/>
    <xf numFmtId="0" fontId="0" fillId="2" borderId="4" xfId="0" applyFill="1" applyBorder="1"/>
    <xf numFmtId="0" fontId="0" fillId="2" borderId="5" xfId="0" applyFill="1" applyBorder="1"/>
    <xf numFmtId="42" fontId="0" fillId="2" borderId="6" xfId="0" applyNumberFormat="1" applyFill="1" applyBorder="1"/>
    <xf numFmtId="0" fontId="0" fillId="0" borderId="4" xfId="0" applyBorder="1"/>
    <xf numFmtId="0" fontId="0" fillId="0" borderId="5" xfId="0" applyBorder="1"/>
    <xf numFmtId="42" fontId="0" fillId="0" borderId="6" xfId="0" applyNumberFormat="1" applyBorder="1"/>
    <xf numFmtId="42" fontId="0" fillId="0" borderId="3" xfId="0" applyNumberFormat="1" applyBorder="1"/>
    <xf numFmtId="0" fontId="0" fillId="0" borderId="0" xfId="0" applyAlignment="1">
      <alignment horizontal="left" vertical="center"/>
    </xf>
    <xf numFmtId="0" fontId="0" fillId="0" borderId="0" xfId="0" applyAlignment="1">
      <alignment horizontal="center" vertical="center"/>
    </xf>
    <xf numFmtId="0" fontId="0" fillId="5" borderId="13" xfId="0" applyFill="1" applyBorder="1"/>
    <xf numFmtId="0" fontId="0" fillId="5" borderId="0" xfId="0" applyFill="1"/>
    <xf numFmtId="0" fontId="1" fillId="3" borderId="1" xfId="0" applyFont="1" applyFill="1" applyBorder="1"/>
    <xf numFmtId="0" fontId="1" fillId="3" borderId="2" xfId="0" applyFont="1" applyFill="1" applyBorder="1"/>
    <xf numFmtId="0" fontId="1" fillId="3" borderId="3" xfId="0" applyFont="1" applyFill="1" applyBorder="1"/>
    <xf numFmtId="0" fontId="0" fillId="2" borderId="1" xfId="0" applyFill="1" applyBorder="1"/>
    <xf numFmtId="0" fontId="0" fillId="2" borderId="2" xfId="0" applyFill="1" applyBorder="1"/>
    <xf numFmtId="0" fontId="0" fillId="2" borderId="3" xfId="0" applyFill="1" applyBorder="1"/>
    <xf numFmtId="0" fontId="0" fillId="0" borderId="3" xfId="0" applyBorder="1"/>
    <xf numFmtId="0" fontId="0" fillId="0" borderId="0" xfId="0" pivotButton="1"/>
    <xf numFmtId="0" fontId="0" fillId="0" borderId="0" xfId="0" applyAlignment="1">
      <alignment horizontal="left"/>
    </xf>
    <xf numFmtId="10" fontId="0" fillId="2" borderId="2" xfId="0" applyNumberFormat="1" applyFill="1" applyBorder="1"/>
    <xf numFmtId="10" fontId="0" fillId="0" borderId="2" xfId="0" applyNumberFormat="1" applyBorder="1"/>
    <xf numFmtId="10" fontId="0" fillId="0" borderId="0" xfId="0" applyNumberFormat="1"/>
    <xf numFmtId="0" fontId="0" fillId="5" borderId="11" xfId="0" applyFill="1" applyBorder="1"/>
    <xf numFmtId="0" fontId="0" fillId="5" borderId="14" xfId="0" applyFill="1" applyBorder="1"/>
    <xf numFmtId="0" fontId="0" fillId="5" borderId="12" xfId="0" applyFill="1" applyBorder="1"/>
    <xf numFmtId="0" fontId="0" fillId="0" borderId="0" xfId="0" applyAlignment="1">
      <alignment wrapText="1"/>
    </xf>
    <xf numFmtId="0" fontId="15" fillId="7" borderId="17" xfId="2" applyAlignment="1">
      <alignment wrapText="1"/>
    </xf>
    <xf numFmtId="0" fontId="15" fillId="7" borderId="17" xfId="2"/>
    <xf numFmtId="0" fontId="7" fillId="5" borderId="11" xfId="0" applyFont="1" applyFill="1" applyBorder="1"/>
    <xf numFmtId="0" fontId="7" fillId="5" borderId="12" xfId="0" applyFont="1" applyFill="1" applyBorder="1"/>
    <xf numFmtId="0" fontId="23" fillId="4" borderId="0" xfId="0" applyFont="1" applyFill="1"/>
    <xf numFmtId="0" fontId="22" fillId="5" borderId="7" xfId="0" applyFont="1" applyFill="1" applyBorder="1" applyAlignment="1">
      <alignment horizontal="center" vertical="center"/>
    </xf>
    <xf numFmtId="0" fontId="22" fillId="5" borderId="13" xfId="0" applyFont="1" applyFill="1" applyBorder="1" applyAlignment="1">
      <alignment horizontal="center" vertical="center"/>
    </xf>
    <xf numFmtId="0" fontId="22" fillId="5" borderId="8" xfId="0" applyFont="1" applyFill="1" applyBorder="1" applyAlignment="1">
      <alignment horizontal="center" vertical="center"/>
    </xf>
    <xf numFmtId="0" fontId="22" fillId="5" borderId="9" xfId="0" applyFont="1" applyFill="1" applyBorder="1" applyAlignment="1">
      <alignment horizontal="center" vertical="center"/>
    </xf>
    <xf numFmtId="0" fontId="22" fillId="5" borderId="0" xfId="0" applyFont="1" applyFill="1" applyAlignment="1">
      <alignment horizontal="center" vertical="center"/>
    </xf>
    <xf numFmtId="0" fontId="22" fillId="5" borderId="10" xfId="0" applyFont="1" applyFill="1" applyBorder="1" applyAlignment="1">
      <alignment horizontal="center" vertical="center"/>
    </xf>
    <xf numFmtId="0" fontId="22" fillId="5" borderId="11" xfId="0" applyFont="1" applyFill="1" applyBorder="1" applyAlignment="1">
      <alignment horizontal="center" vertical="center"/>
    </xf>
    <xf numFmtId="0" fontId="22" fillId="5" borderId="14" xfId="0" applyFont="1" applyFill="1" applyBorder="1" applyAlignment="1">
      <alignment horizontal="center" vertical="center"/>
    </xf>
    <xf numFmtId="0" fontId="22" fillId="5" borderId="12" xfId="0" applyFont="1" applyFill="1" applyBorder="1" applyAlignment="1">
      <alignment horizontal="center" vertical="center"/>
    </xf>
    <xf numFmtId="0" fontId="24" fillId="5" borderId="7" xfId="0" applyFont="1" applyFill="1" applyBorder="1" applyAlignment="1">
      <alignment horizontal="center" vertical="center" wrapText="1"/>
    </xf>
    <xf numFmtId="0" fontId="24" fillId="5" borderId="13" xfId="0" applyFont="1" applyFill="1" applyBorder="1" applyAlignment="1">
      <alignment horizontal="center" vertical="center" wrapText="1"/>
    </xf>
    <xf numFmtId="0" fontId="24" fillId="5" borderId="8" xfId="0" applyFont="1" applyFill="1" applyBorder="1" applyAlignment="1">
      <alignment horizontal="center" vertical="center" wrapText="1"/>
    </xf>
    <xf numFmtId="0" fontId="24" fillId="5" borderId="9" xfId="0" applyFont="1" applyFill="1" applyBorder="1" applyAlignment="1">
      <alignment horizontal="center" vertical="center" wrapText="1"/>
    </xf>
    <xf numFmtId="0" fontId="24" fillId="5" borderId="0" xfId="0" applyFont="1" applyFill="1" applyAlignment="1">
      <alignment horizontal="center" vertical="center" wrapText="1"/>
    </xf>
    <xf numFmtId="0" fontId="24" fillId="5" borderId="10" xfId="0" applyFont="1" applyFill="1" applyBorder="1" applyAlignment="1">
      <alignment horizontal="center" vertical="center" wrapText="1"/>
    </xf>
    <xf numFmtId="0" fontId="24" fillId="5" borderId="11" xfId="0" applyFont="1" applyFill="1" applyBorder="1" applyAlignment="1">
      <alignment horizontal="center" vertical="center" wrapText="1"/>
    </xf>
    <xf numFmtId="0" fontId="24" fillId="5" borderId="14" xfId="0" applyFont="1" applyFill="1" applyBorder="1" applyAlignment="1">
      <alignment horizontal="center" vertical="center" wrapText="1"/>
    </xf>
    <xf numFmtId="0" fontId="24" fillId="5" borderId="12" xfId="0" applyFont="1" applyFill="1" applyBorder="1" applyAlignment="1">
      <alignment horizontal="center" vertical="center" wrapText="1"/>
    </xf>
    <xf numFmtId="0" fontId="23" fillId="5" borderId="15" xfId="0" applyFont="1" applyFill="1" applyBorder="1" applyAlignment="1">
      <alignment horizontal="center"/>
    </xf>
    <xf numFmtId="0" fontId="23" fillId="5" borderId="21" xfId="0" applyFont="1" applyFill="1" applyBorder="1" applyAlignment="1">
      <alignment horizontal="center"/>
    </xf>
    <xf numFmtId="0" fontId="23" fillId="5" borderId="16" xfId="0" applyFont="1" applyFill="1" applyBorder="1" applyAlignment="1">
      <alignment horizontal="center"/>
    </xf>
    <xf numFmtId="0" fontId="11" fillId="6" borderId="15" xfId="0" applyFont="1" applyFill="1" applyBorder="1" applyAlignment="1">
      <alignment horizontal="center" vertical="center"/>
    </xf>
    <xf numFmtId="0" fontId="11" fillId="6" borderId="21" xfId="0" applyFont="1" applyFill="1" applyBorder="1" applyAlignment="1">
      <alignment horizontal="center" vertical="center"/>
    </xf>
    <xf numFmtId="0" fontId="11" fillId="6" borderId="16" xfId="0" applyFont="1" applyFill="1" applyBorder="1" applyAlignment="1">
      <alignment horizontal="center" vertical="center"/>
    </xf>
    <xf numFmtId="0" fontId="11" fillId="5" borderId="7" xfId="0" applyFont="1" applyFill="1" applyBorder="1" applyAlignment="1">
      <alignment horizontal="center" vertical="center"/>
    </xf>
    <xf numFmtId="0" fontId="11" fillId="5" borderId="13" xfId="0" applyFont="1" applyFill="1" applyBorder="1" applyAlignment="1">
      <alignment horizontal="center" vertical="center"/>
    </xf>
    <xf numFmtId="0" fontId="11" fillId="5" borderId="8" xfId="0" applyFont="1" applyFill="1" applyBorder="1" applyAlignment="1">
      <alignment horizontal="center" vertical="center"/>
    </xf>
    <xf numFmtId="0" fontId="11" fillId="5" borderId="9" xfId="0" applyFont="1" applyFill="1" applyBorder="1" applyAlignment="1">
      <alignment horizontal="center" vertical="center"/>
    </xf>
    <xf numFmtId="0" fontId="11" fillId="5" borderId="0" xfId="0" applyFont="1" applyFill="1" applyAlignment="1">
      <alignment horizontal="center" vertical="center"/>
    </xf>
    <xf numFmtId="0" fontId="11" fillId="5" borderId="10" xfId="0" applyFont="1" applyFill="1" applyBorder="1" applyAlignment="1">
      <alignment horizontal="center" vertical="center"/>
    </xf>
    <xf numFmtId="0" fontId="5" fillId="5" borderId="13" xfId="0" applyFont="1" applyFill="1" applyBorder="1" applyAlignment="1">
      <alignment horizontal="center" vertical="center" wrapText="1"/>
    </xf>
    <xf numFmtId="0" fontId="5" fillId="5" borderId="0" xfId="0" applyFont="1" applyFill="1" applyAlignment="1">
      <alignment horizontal="center" vertical="center" wrapText="1"/>
    </xf>
    <xf numFmtId="0" fontId="5" fillId="5" borderId="14" xfId="0" applyFont="1" applyFill="1" applyBorder="1" applyAlignment="1">
      <alignment horizontal="center" vertical="center" wrapText="1"/>
    </xf>
    <xf numFmtId="0" fontId="2" fillId="5" borderId="7" xfId="0" applyFont="1" applyFill="1" applyBorder="1" applyAlignment="1">
      <alignment horizontal="center"/>
    </xf>
    <xf numFmtId="0" fontId="2" fillId="5" borderId="13" xfId="0" applyFont="1" applyFill="1" applyBorder="1" applyAlignment="1">
      <alignment horizontal="center"/>
    </xf>
    <xf numFmtId="0" fontId="2" fillId="5" borderId="8" xfId="0" applyFont="1" applyFill="1" applyBorder="1" applyAlignment="1">
      <alignment horizontal="center"/>
    </xf>
    <xf numFmtId="0" fontId="2" fillId="5" borderId="11" xfId="0" applyFont="1" applyFill="1" applyBorder="1" applyAlignment="1">
      <alignment horizontal="center"/>
    </xf>
    <xf numFmtId="0" fontId="2" fillId="5" borderId="14" xfId="0" applyFont="1" applyFill="1" applyBorder="1" applyAlignment="1">
      <alignment horizontal="center"/>
    </xf>
    <xf numFmtId="0" fontId="2" fillId="5" borderId="12" xfId="0" applyFont="1" applyFill="1" applyBorder="1" applyAlignment="1">
      <alignment horizontal="center"/>
    </xf>
    <xf numFmtId="0" fontId="0" fillId="5" borderId="7" xfId="0" applyFill="1" applyBorder="1" applyAlignment="1">
      <alignment horizontal="center"/>
    </xf>
    <xf numFmtId="0" fontId="0" fillId="5" borderId="13" xfId="0"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0" xfId="0" applyFill="1" applyAlignment="1">
      <alignment horizontal="center"/>
    </xf>
    <xf numFmtId="0" fontId="0" fillId="5" borderId="10" xfId="0" applyFill="1" applyBorder="1" applyAlignment="1">
      <alignment horizontal="center"/>
    </xf>
    <xf numFmtId="0" fontId="0" fillId="5" borderId="11" xfId="0" applyFill="1" applyBorder="1" applyAlignment="1">
      <alignment horizontal="center"/>
    </xf>
    <xf numFmtId="0" fontId="0" fillId="5" borderId="14" xfId="0" applyFill="1" applyBorder="1" applyAlignment="1">
      <alignment horizontal="center"/>
    </xf>
    <xf numFmtId="0" fontId="0" fillId="5" borderId="12" xfId="0" applyFill="1" applyBorder="1" applyAlignment="1">
      <alignment horizontal="center"/>
    </xf>
    <xf numFmtId="0" fontId="13" fillId="6" borderId="7"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9" xfId="0" applyFont="1" applyFill="1" applyBorder="1" applyAlignment="1">
      <alignment horizontal="center" vertical="center"/>
    </xf>
    <xf numFmtId="0" fontId="13" fillId="6" borderId="10" xfId="0" applyFont="1" applyFill="1" applyBorder="1" applyAlignment="1">
      <alignment horizontal="center" vertical="center"/>
    </xf>
    <xf numFmtId="0" fontId="13" fillId="6" borderId="11" xfId="0" applyFont="1" applyFill="1" applyBorder="1" applyAlignment="1">
      <alignment horizontal="center" vertical="center"/>
    </xf>
    <xf numFmtId="0" fontId="13" fillId="6" borderId="12"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0" xfId="0" applyFont="1" applyFill="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4" xfId="0" applyFont="1" applyFill="1" applyBorder="1" applyAlignment="1">
      <alignment horizontal="center" vertical="center"/>
    </xf>
    <xf numFmtId="0" fontId="3" fillId="5" borderId="12" xfId="0" applyFont="1" applyFill="1" applyBorder="1" applyAlignment="1">
      <alignment horizontal="center" vertical="center"/>
    </xf>
    <xf numFmtId="164" fontId="4" fillId="5" borderId="7" xfId="0" applyNumberFormat="1" applyFont="1" applyFill="1" applyBorder="1" applyAlignment="1">
      <alignment horizontal="center"/>
    </xf>
    <xf numFmtId="164" fontId="4" fillId="5" borderId="13" xfId="0" applyNumberFormat="1" applyFont="1" applyFill="1" applyBorder="1" applyAlignment="1">
      <alignment horizontal="center"/>
    </xf>
    <xf numFmtId="164" fontId="4" fillId="5" borderId="8" xfId="0" applyNumberFormat="1" applyFont="1" applyFill="1" applyBorder="1" applyAlignment="1">
      <alignment horizontal="center"/>
    </xf>
    <xf numFmtId="164" fontId="4" fillId="5" borderId="11" xfId="0" applyNumberFormat="1" applyFont="1" applyFill="1" applyBorder="1" applyAlignment="1">
      <alignment horizontal="center"/>
    </xf>
    <xf numFmtId="164" fontId="4" fillId="5" borderId="14" xfId="0" applyNumberFormat="1" applyFont="1" applyFill="1" applyBorder="1" applyAlignment="1">
      <alignment horizontal="center"/>
    </xf>
    <xf numFmtId="164" fontId="4" fillId="5" borderId="12" xfId="0" applyNumberFormat="1" applyFont="1" applyFill="1" applyBorder="1" applyAlignment="1">
      <alignment horizontal="center"/>
    </xf>
    <xf numFmtId="165" fontId="12" fillId="6" borderId="7" xfId="0" applyNumberFormat="1" applyFont="1" applyFill="1" applyBorder="1" applyAlignment="1">
      <alignment horizontal="center" vertical="center"/>
    </xf>
    <xf numFmtId="165" fontId="12" fillId="6" borderId="8" xfId="0" applyNumberFormat="1" applyFont="1" applyFill="1" applyBorder="1" applyAlignment="1">
      <alignment horizontal="center" vertical="center"/>
    </xf>
    <xf numFmtId="165" fontId="12" fillId="6" borderId="9" xfId="0" applyNumberFormat="1" applyFont="1" applyFill="1" applyBorder="1" applyAlignment="1">
      <alignment horizontal="center" vertical="center"/>
    </xf>
    <xf numFmtId="165" fontId="12" fillId="6" borderId="10" xfId="0" applyNumberFormat="1" applyFont="1" applyFill="1" applyBorder="1" applyAlignment="1">
      <alignment horizontal="center" vertical="center"/>
    </xf>
    <xf numFmtId="165" fontId="12" fillId="6" borderId="11" xfId="0" applyNumberFormat="1" applyFont="1" applyFill="1" applyBorder="1" applyAlignment="1">
      <alignment horizontal="center" vertical="center"/>
    </xf>
    <xf numFmtId="165" fontId="12" fillId="6" borderId="12" xfId="0" applyNumberFormat="1" applyFont="1" applyFill="1" applyBorder="1" applyAlignment="1">
      <alignment horizontal="center" vertical="center"/>
    </xf>
    <xf numFmtId="0" fontId="8" fillId="6" borderId="15" xfId="0" applyFont="1" applyFill="1" applyBorder="1" applyAlignment="1">
      <alignment horizontal="center" vertical="center"/>
    </xf>
    <xf numFmtId="0" fontId="8" fillId="6" borderId="16" xfId="0" applyFont="1" applyFill="1" applyBorder="1" applyAlignment="1">
      <alignment horizontal="center" vertical="center"/>
    </xf>
    <xf numFmtId="0" fontId="11" fillId="6" borderId="7" xfId="0" applyFont="1" applyFill="1" applyBorder="1" applyAlignment="1">
      <alignment horizontal="center" wrapText="1"/>
    </xf>
    <xf numFmtId="0" fontId="11" fillId="6" borderId="8" xfId="0" applyFont="1" applyFill="1" applyBorder="1" applyAlignment="1">
      <alignment horizontal="center" wrapText="1"/>
    </xf>
    <xf numFmtId="0" fontId="11" fillId="6" borderId="11" xfId="0" applyFont="1" applyFill="1" applyBorder="1" applyAlignment="1">
      <alignment horizontal="center" wrapText="1"/>
    </xf>
    <xf numFmtId="0" fontId="11" fillId="6" borderId="12" xfId="0" applyFont="1" applyFill="1" applyBorder="1" applyAlignment="1">
      <alignment horizontal="center" wrapText="1"/>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6" fillId="5" borderId="9" xfId="0" applyFont="1" applyFill="1" applyBorder="1" applyAlignment="1">
      <alignment horizontal="center" vertical="top"/>
    </xf>
    <xf numFmtId="0" fontId="6" fillId="5" borderId="0" xfId="0" applyFont="1" applyFill="1" applyAlignment="1">
      <alignment horizontal="center" vertical="top"/>
    </xf>
    <xf numFmtId="0" fontId="6" fillId="5" borderId="11" xfId="0" applyFont="1" applyFill="1" applyBorder="1" applyAlignment="1">
      <alignment horizontal="center" vertical="top"/>
    </xf>
    <xf numFmtId="0" fontId="6" fillId="5" borderId="14" xfId="0" applyFont="1" applyFill="1" applyBorder="1" applyAlignment="1">
      <alignment horizontal="center" vertical="top"/>
    </xf>
    <xf numFmtId="0" fontId="13" fillId="6" borderId="13" xfId="0" applyFont="1" applyFill="1" applyBorder="1" applyAlignment="1">
      <alignment horizontal="center" vertical="center"/>
    </xf>
    <xf numFmtId="0" fontId="13" fillId="6" borderId="0" xfId="0" applyFont="1" applyFill="1" applyAlignment="1">
      <alignment horizontal="center" vertical="center"/>
    </xf>
    <xf numFmtId="0" fontId="13" fillId="6" borderId="14" xfId="0" applyFont="1" applyFill="1" applyBorder="1" applyAlignment="1">
      <alignment horizontal="center" vertical="center"/>
    </xf>
    <xf numFmtId="0" fontId="6" fillId="5" borderId="7" xfId="0" applyFont="1" applyFill="1" applyBorder="1" applyAlignment="1">
      <alignment horizontal="center"/>
    </xf>
    <xf numFmtId="0" fontId="6" fillId="5" borderId="13" xfId="0" applyFont="1" applyFill="1" applyBorder="1" applyAlignment="1">
      <alignment horizontal="center"/>
    </xf>
    <xf numFmtId="0" fontId="6" fillId="5" borderId="8" xfId="0" applyFont="1" applyFill="1" applyBorder="1" applyAlignment="1">
      <alignment horizontal="center"/>
    </xf>
    <xf numFmtId="3" fontId="10" fillId="6" borderId="7" xfId="1" applyNumberFormat="1" applyFont="1" applyFill="1" applyBorder="1" applyAlignment="1">
      <alignment horizontal="center" vertical="center"/>
    </xf>
    <xf numFmtId="3" fontId="10" fillId="6" borderId="13" xfId="1" applyNumberFormat="1" applyFont="1" applyFill="1" applyBorder="1" applyAlignment="1">
      <alignment horizontal="center" vertical="center"/>
    </xf>
    <xf numFmtId="3" fontId="10" fillId="6" borderId="8" xfId="1" applyNumberFormat="1" applyFont="1" applyFill="1" applyBorder="1" applyAlignment="1">
      <alignment horizontal="center" vertical="center"/>
    </xf>
    <xf numFmtId="3" fontId="10" fillId="6" borderId="9" xfId="1" applyNumberFormat="1" applyFont="1" applyFill="1" applyBorder="1" applyAlignment="1">
      <alignment horizontal="center" vertical="center"/>
    </xf>
    <xf numFmtId="3" fontId="10" fillId="6" borderId="0" xfId="1" applyNumberFormat="1" applyFont="1" applyFill="1" applyBorder="1" applyAlignment="1">
      <alignment horizontal="center" vertical="center"/>
    </xf>
    <xf numFmtId="3" fontId="10" fillId="6" borderId="10" xfId="1" applyNumberFormat="1" applyFont="1" applyFill="1" applyBorder="1" applyAlignment="1">
      <alignment horizontal="center" vertical="center"/>
    </xf>
    <xf numFmtId="3" fontId="10" fillId="6" borderId="11" xfId="1" applyNumberFormat="1" applyFont="1" applyFill="1" applyBorder="1" applyAlignment="1">
      <alignment horizontal="center" vertical="center"/>
    </xf>
    <xf numFmtId="3" fontId="10" fillId="6" borderId="14" xfId="1" applyNumberFormat="1" applyFont="1" applyFill="1" applyBorder="1" applyAlignment="1">
      <alignment horizontal="center" vertical="center"/>
    </xf>
    <xf numFmtId="3" fontId="10" fillId="6" borderId="12" xfId="1" applyNumberFormat="1" applyFont="1" applyFill="1" applyBorder="1" applyAlignment="1">
      <alignment horizontal="center" vertical="center"/>
    </xf>
    <xf numFmtId="0" fontId="6" fillId="5" borderId="9" xfId="0" applyFont="1" applyFill="1" applyBorder="1" applyAlignment="1">
      <alignment horizontal="center" vertical="center" wrapText="1"/>
    </xf>
    <xf numFmtId="0" fontId="6" fillId="5" borderId="0" xfId="0" applyFont="1" applyFill="1" applyAlignment="1">
      <alignment horizontal="center" vertical="center" wrapText="1"/>
    </xf>
    <xf numFmtId="0" fontId="6" fillId="5" borderId="10" xfId="0" applyFont="1" applyFill="1" applyBorder="1" applyAlignment="1">
      <alignment horizontal="center" vertical="center" wrapText="1"/>
    </xf>
    <xf numFmtId="0" fontId="12" fillId="6" borderId="7" xfId="0" applyFont="1" applyFill="1" applyBorder="1" applyAlignment="1">
      <alignment horizontal="center" vertical="center" wrapText="1"/>
    </xf>
    <xf numFmtId="0" fontId="12" fillId="6" borderId="13" xfId="0" applyFont="1" applyFill="1" applyBorder="1" applyAlignment="1">
      <alignment horizontal="center" vertical="center" wrapText="1"/>
    </xf>
    <xf numFmtId="0" fontId="12" fillId="6" borderId="8" xfId="0" applyFont="1" applyFill="1" applyBorder="1" applyAlignment="1">
      <alignment horizontal="center" vertical="center" wrapText="1"/>
    </xf>
    <xf numFmtId="0" fontId="12" fillId="6" borderId="9" xfId="0" applyFont="1" applyFill="1" applyBorder="1" applyAlignment="1">
      <alignment horizontal="center" vertical="center" wrapText="1"/>
    </xf>
    <xf numFmtId="0" fontId="12" fillId="6" borderId="0" xfId="0" applyFont="1" applyFill="1" applyAlignment="1">
      <alignment horizontal="center" vertical="center" wrapText="1"/>
    </xf>
    <xf numFmtId="0" fontId="12" fillId="6" borderId="10" xfId="0" applyFont="1" applyFill="1" applyBorder="1" applyAlignment="1">
      <alignment horizontal="center" vertical="center" wrapText="1"/>
    </xf>
    <xf numFmtId="0" fontId="12" fillId="6" borderId="11" xfId="0" applyFont="1" applyFill="1" applyBorder="1" applyAlignment="1">
      <alignment horizontal="center" vertical="center" wrapText="1"/>
    </xf>
    <xf numFmtId="0" fontId="12" fillId="6" borderId="14" xfId="0" applyFont="1" applyFill="1" applyBorder="1" applyAlignment="1">
      <alignment horizontal="center" vertical="center" wrapText="1"/>
    </xf>
    <xf numFmtId="0" fontId="12" fillId="6" borderId="12" xfId="0" applyFont="1" applyFill="1" applyBorder="1" applyAlignment="1">
      <alignment horizontal="center" vertical="center" wrapText="1"/>
    </xf>
    <xf numFmtId="0" fontId="5" fillId="5" borderId="9" xfId="0" applyFont="1" applyFill="1" applyBorder="1" applyAlignment="1">
      <alignment horizontal="center" vertical="center"/>
    </xf>
    <xf numFmtId="0" fontId="5" fillId="5" borderId="10" xfId="0" applyFont="1" applyFill="1" applyBorder="1" applyAlignment="1">
      <alignment horizontal="center" vertical="center"/>
    </xf>
    <xf numFmtId="0" fontId="17" fillId="6" borderId="18" xfId="0" applyFont="1" applyFill="1" applyBorder="1" applyAlignment="1">
      <alignment horizontal="center" vertical="center"/>
    </xf>
    <xf numFmtId="0" fontId="17" fillId="6" borderId="19" xfId="0" applyFont="1" applyFill="1" applyBorder="1" applyAlignment="1">
      <alignment horizontal="center" vertical="center"/>
    </xf>
    <xf numFmtId="0" fontId="17" fillId="6" borderId="20" xfId="0" applyFont="1" applyFill="1" applyBorder="1" applyAlignment="1">
      <alignment horizontal="center" vertical="center"/>
    </xf>
    <xf numFmtId="0" fontId="16" fillId="5" borderId="0" xfId="0" applyFont="1" applyFill="1" applyAlignment="1">
      <alignment horizontal="center" vertical="center"/>
    </xf>
    <xf numFmtId="0" fontId="16" fillId="5" borderId="10" xfId="0" applyFont="1" applyFill="1" applyBorder="1" applyAlignment="1">
      <alignment horizontal="center" vertical="center"/>
    </xf>
    <xf numFmtId="0" fontId="16" fillId="5" borderId="9" xfId="0" applyFont="1" applyFill="1" applyBorder="1" applyAlignment="1">
      <alignment horizontal="center" vertical="center"/>
    </xf>
    <xf numFmtId="0" fontId="20" fillId="5" borderId="9" xfId="0" applyFont="1" applyFill="1" applyBorder="1" applyAlignment="1">
      <alignment horizontal="center" vertical="center" wrapText="1"/>
    </xf>
    <xf numFmtId="0" fontId="16" fillId="5" borderId="10" xfId="0" applyFont="1" applyFill="1" applyBorder="1" applyAlignment="1">
      <alignment horizontal="center" vertical="center" wrapText="1"/>
    </xf>
    <xf numFmtId="0" fontId="16" fillId="5" borderId="9" xfId="0" applyFont="1" applyFill="1" applyBorder="1" applyAlignment="1">
      <alignment horizontal="center" vertical="center" wrapText="1"/>
    </xf>
    <xf numFmtId="0" fontId="15" fillId="7" borderId="17" xfId="2" applyAlignment="1">
      <alignment horizontal="center"/>
    </xf>
    <xf numFmtId="0" fontId="0" fillId="0" borderId="0" xfId="0" applyNumberFormat="1"/>
    <xf numFmtId="0" fontId="25" fillId="5" borderId="9" xfId="0" applyFont="1" applyFill="1" applyBorder="1" applyAlignment="1">
      <alignment horizontal="center" vertical="center"/>
    </xf>
    <xf numFmtId="0" fontId="25" fillId="5" borderId="0" xfId="0" applyFont="1" applyFill="1" applyBorder="1" applyAlignment="1">
      <alignment horizontal="center" vertical="center"/>
    </xf>
    <xf numFmtId="0" fontId="25" fillId="5" borderId="10" xfId="0" applyFont="1" applyFill="1" applyBorder="1" applyAlignment="1">
      <alignment horizontal="center" vertical="center"/>
    </xf>
    <xf numFmtId="0" fontId="25" fillId="5" borderId="11" xfId="0" applyFont="1" applyFill="1" applyBorder="1" applyAlignment="1">
      <alignment horizontal="center" vertical="center"/>
    </xf>
    <xf numFmtId="0" fontId="25" fillId="5" borderId="14" xfId="0" applyFont="1" applyFill="1" applyBorder="1" applyAlignment="1">
      <alignment horizontal="center" vertical="center"/>
    </xf>
    <xf numFmtId="0" fontId="25" fillId="5" borderId="12" xfId="0" applyFont="1" applyFill="1" applyBorder="1" applyAlignment="1">
      <alignment horizontal="center" vertical="center"/>
    </xf>
    <xf numFmtId="0" fontId="25" fillId="5" borderId="9" xfId="0" applyFont="1" applyFill="1" applyBorder="1" applyAlignment="1">
      <alignment horizontal="center" vertical="center" wrapText="1"/>
    </xf>
    <xf numFmtId="0" fontId="19" fillId="5" borderId="19" xfId="3" applyFill="1" applyBorder="1"/>
    <xf numFmtId="0" fontId="0" fillId="5" borderId="19" xfId="0" applyFill="1" applyBorder="1"/>
    <xf numFmtId="0" fontId="18" fillId="5" borderId="19" xfId="0" applyFont="1" applyFill="1" applyBorder="1"/>
    <xf numFmtId="0" fontId="0" fillId="5" borderId="20" xfId="0" applyFill="1" applyBorder="1"/>
    <xf numFmtId="0" fontId="0" fillId="5" borderId="0" xfId="0" applyFill="1" applyBorder="1"/>
    <xf numFmtId="0" fontId="27" fillId="5" borderId="18" xfId="0" applyFont="1" applyFill="1" applyBorder="1"/>
    <xf numFmtId="0" fontId="28" fillId="8" borderId="0" xfId="0" applyFont="1" applyFill="1"/>
    <xf numFmtId="0" fontId="28" fillId="9" borderId="0" xfId="0" applyFont="1" applyFill="1"/>
    <xf numFmtId="0" fontId="28" fillId="10" borderId="0" xfId="0" applyFont="1" applyFill="1" applyBorder="1"/>
    <xf numFmtId="0" fontId="30" fillId="10" borderId="0" xfId="0" applyFont="1" applyFill="1" applyBorder="1" applyAlignment="1">
      <alignment horizontal="center" vertical="center" wrapText="1"/>
    </xf>
    <xf numFmtId="0" fontId="30" fillId="10" borderId="0" xfId="0" applyFont="1" applyFill="1" applyBorder="1" applyAlignment="1">
      <alignment vertical="center" wrapText="1"/>
    </xf>
    <xf numFmtId="0" fontId="28" fillId="10" borderId="7" xfId="0" applyFont="1" applyFill="1" applyBorder="1"/>
    <xf numFmtId="0" fontId="28" fillId="10" borderId="13" xfId="0" applyFont="1" applyFill="1" applyBorder="1"/>
    <xf numFmtId="0" fontId="28" fillId="10" borderId="8" xfId="0" applyFont="1" applyFill="1" applyBorder="1"/>
    <xf numFmtId="0" fontId="28" fillId="10" borderId="9" xfId="0" applyFont="1" applyFill="1" applyBorder="1"/>
    <xf numFmtId="0" fontId="28" fillId="10" borderId="10" xfId="0" applyFont="1" applyFill="1" applyBorder="1"/>
    <xf numFmtId="0" fontId="30" fillId="10" borderId="9" xfId="0" applyFont="1" applyFill="1" applyBorder="1" applyAlignment="1">
      <alignment horizontal="center" vertical="center" wrapText="1"/>
    </xf>
    <xf numFmtId="0" fontId="30" fillId="10" borderId="10" xfId="0" applyFont="1" applyFill="1" applyBorder="1" applyAlignment="1">
      <alignment horizontal="center" vertical="center" wrapText="1"/>
    </xf>
    <xf numFmtId="0" fontId="30" fillId="10" borderId="9" xfId="0" applyFont="1" applyFill="1" applyBorder="1" applyAlignment="1">
      <alignment vertical="center" wrapText="1"/>
    </xf>
    <xf numFmtId="0" fontId="30" fillId="10" borderId="10" xfId="0" applyFont="1" applyFill="1" applyBorder="1" applyAlignment="1">
      <alignment vertical="center" wrapText="1"/>
    </xf>
    <xf numFmtId="0" fontId="30" fillId="10" borderId="11" xfId="0" applyFont="1" applyFill="1" applyBorder="1" applyAlignment="1">
      <alignment vertical="center" wrapText="1"/>
    </xf>
    <xf numFmtId="0" fontId="30" fillId="10" borderId="14" xfId="0" applyFont="1" applyFill="1" applyBorder="1" applyAlignment="1">
      <alignment vertical="center" wrapText="1"/>
    </xf>
    <xf numFmtId="0" fontId="30" fillId="10" borderId="12" xfId="0" applyFont="1" applyFill="1" applyBorder="1" applyAlignment="1">
      <alignment vertical="center" wrapText="1"/>
    </xf>
    <xf numFmtId="0" fontId="33" fillId="5" borderId="9" xfId="0" applyFont="1" applyFill="1" applyBorder="1" applyAlignment="1">
      <alignment horizontal="center" vertical="center" wrapText="1"/>
    </xf>
    <xf numFmtId="0" fontId="33" fillId="5" borderId="0" xfId="0" applyFont="1" applyFill="1" applyBorder="1" applyAlignment="1">
      <alignment horizontal="center" vertical="center"/>
    </xf>
    <xf numFmtId="0" fontId="33" fillId="5" borderId="10" xfId="0" applyFont="1" applyFill="1" applyBorder="1" applyAlignment="1">
      <alignment horizontal="center" vertical="center"/>
    </xf>
    <xf numFmtId="0" fontId="33" fillId="5" borderId="9" xfId="0" applyFont="1" applyFill="1" applyBorder="1" applyAlignment="1">
      <alignment horizontal="center" vertical="center"/>
    </xf>
    <xf numFmtId="0" fontId="0" fillId="4" borderId="0" xfId="0" applyFill="1" applyBorder="1"/>
    <xf numFmtId="0" fontId="27" fillId="4" borderId="0" xfId="0" applyFont="1" applyFill="1" applyBorder="1"/>
    <xf numFmtId="0" fontId="23" fillId="4" borderId="0" xfId="0" applyFont="1" applyFill="1" applyBorder="1"/>
    <xf numFmtId="0" fontId="19" fillId="4" borderId="0" xfId="3" applyFill="1" applyBorder="1"/>
  </cellXfs>
  <cellStyles count="4">
    <cellStyle name="Calculation" xfId="2" builtinId="22"/>
    <cellStyle name="Comma" xfId="1" builtinId="3"/>
    <cellStyle name="Hyperlink" xfId="3" builtinId="8"/>
    <cellStyle name="Normal" xfId="0" builtinId="0"/>
  </cellStyles>
  <dxfs count="0"/>
  <tableStyles count="1" defaultTableStyle="TableStyleMedium2" defaultPivotStyle="PivotStyleLight16">
    <tableStyle name="Invisible" pivot="0" table="0" count="0" xr9:uid="{FA7E57F3-22E3-40CF-A622-63932DA259D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4 Dashboard.xlsm]Bottom Data!PivotTable3</c:name>
    <c:fmtId val="6"/>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pPr>
            <a:solidFill>
              <a:schemeClr val="accent1"/>
            </a:solidFill>
            <a:ln w="9525">
              <a:solidFill>
                <a:schemeClr val="l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'Bottom Data'!$F$14:$F$15</c:f>
              <c:strCache>
                <c:ptCount val="1"/>
                <c:pt idx="0">
                  <c:v>Boston</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665-8741-9BF8-6ACE82F261A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665-8741-9BF8-6ACE82F261A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'Bottom Data'!$E$16:$E$17</c:f>
              <c:strCache>
                <c:ptCount val="2"/>
                <c:pt idx="0">
                  <c:v>Proportion of Females</c:v>
                </c:pt>
                <c:pt idx="1">
                  <c:v>Proportion of Males</c:v>
                </c:pt>
              </c:strCache>
            </c:strRef>
          </c:cat>
          <c:val>
            <c:numRef>
              <c:f>'Bottom Data'!$F$16:$F$17</c:f>
              <c:numCache>
                <c:formatCode>0.00%</c:formatCode>
                <c:ptCount val="2"/>
                <c:pt idx="0">
                  <c:v>0.51879922744742479</c:v>
                </c:pt>
                <c:pt idx="1">
                  <c:v>0.48120077255257526</c:v>
                </c:pt>
              </c:numCache>
            </c:numRef>
          </c:val>
          <c:extLst>
            <c:ext xmlns:c16="http://schemas.microsoft.com/office/drawing/2014/chart" uri="{C3380CC4-5D6E-409C-BE32-E72D297353CC}">
              <c16:uniqueId val="{00000004-F665-8741-9BF8-6ACE82F261A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4 Dashboard.xlsm]Bottom Data!Crime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 in the Cities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'Bottom Data'!$J$16</c:f>
              <c:strCache>
                <c:ptCount val="1"/>
                <c:pt idx="0">
                  <c:v>Total Crimes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'Bottom Data'!$I$17:$I$18</c:f>
              <c:strCache>
                <c:ptCount val="1"/>
                <c:pt idx="0">
                  <c:v>Boston</c:v>
                </c:pt>
              </c:strCache>
            </c:strRef>
          </c:cat>
          <c:val>
            <c:numRef>
              <c:f>'Bottom Data'!$J$17:$J$18</c:f>
              <c:numCache>
                <c:formatCode>General</c:formatCode>
                <c:ptCount val="1"/>
                <c:pt idx="0">
                  <c:v>2758.22</c:v>
                </c:pt>
              </c:numCache>
            </c:numRef>
          </c:val>
          <c:extLst>
            <c:ext xmlns:c16="http://schemas.microsoft.com/office/drawing/2014/chart" uri="{C3380CC4-5D6E-409C-BE32-E72D297353CC}">
              <c16:uniqueId val="{00000000-37A9-A747-B170-2062980120AB}"/>
            </c:ext>
          </c:extLst>
        </c:ser>
        <c:ser>
          <c:idx val="1"/>
          <c:order val="1"/>
          <c:tx>
            <c:strRef>
              <c:f>'Bottom Data'!$K$16</c:f>
              <c:strCache>
                <c:ptCount val="1"/>
                <c:pt idx="0">
                  <c:v>Total Violent Crimes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'Bottom Data'!$I$17:$I$18</c:f>
              <c:strCache>
                <c:ptCount val="1"/>
                <c:pt idx="0">
                  <c:v>Boston</c:v>
                </c:pt>
              </c:strCache>
            </c:strRef>
          </c:cat>
          <c:val>
            <c:numRef>
              <c:f>'Bottom Data'!$K$17:$K$18</c:f>
              <c:numCache>
                <c:formatCode>General</c:formatCode>
                <c:ptCount val="1"/>
                <c:pt idx="0">
                  <c:v>669.2</c:v>
                </c:pt>
              </c:numCache>
            </c:numRef>
          </c:val>
          <c:extLst>
            <c:ext xmlns:c16="http://schemas.microsoft.com/office/drawing/2014/chart" uri="{C3380CC4-5D6E-409C-BE32-E72D297353CC}">
              <c16:uniqueId val="{00000001-37A9-A747-B170-2062980120AB}"/>
            </c:ext>
          </c:extLst>
        </c:ser>
        <c:ser>
          <c:idx val="2"/>
          <c:order val="2"/>
          <c:tx>
            <c:strRef>
              <c:f>'Bottom Data'!$L$16</c:f>
              <c:strCache>
                <c:ptCount val="1"/>
                <c:pt idx="0">
                  <c:v>Total Property Crimes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'Bottom Data'!$I$17:$I$18</c:f>
              <c:strCache>
                <c:ptCount val="1"/>
                <c:pt idx="0">
                  <c:v>Boston</c:v>
                </c:pt>
              </c:strCache>
            </c:strRef>
          </c:cat>
          <c:val>
            <c:numRef>
              <c:f>'Bottom Data'!$L$17:$L$18</c:f>
              <c:numCache>
                <c:formatCode>General</c:formatCode>
                <c:ptCount val="1"/>
                <c:pt idx="0">
                  <c:v>2089.02</c:v>
                </c:pt>
              </c:numCache>
            </c:numRef>
          </c:val>
          <c:extLst>
            <c:ext xmlns:c16="http://schemas.microsoft.com/office/drawing/2014/chart" uri="{C3380CC4-5D6E-409C-BE32-E72D297353CC}">
              <c16:uniqueId val="{00000002-37A9-A747-B170-2062980120AB}"/>
            </c:ext>
          </c:extLst>
        </c:ser>
        <c:dLbls>
          <c:dLblPos val="outEnd"/>
          <c:showLegendKey val="0"/>
          <c:showVal val="1"/>
          <c:showCatName val="0"/>
          <c:showSerName val="0"/>
          <c:showPercent val="0"/>
          <c:showBubbleSize val="0"/>
        </c:dLbls>
        <c:gapWidth val="219"/>
        <c:overlap val="-27"/>
        <c:axId val="295927952"/>
        <c:axId val="849992512"/>
      </c:barChart>
      <c:catAx>
        <c:axId val="29592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992512"/>
        <c:crosses val="autoZero"/>
        <c:auto val="1"/>
        <c:lblAlgn val="ctr"/>
        <c:lblOffset val="100"/>
        <c:noMultiLvlLbl val="0"/>
      </c:catAx>
      <c:valAx>
        <c:axId val="849992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927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4 Dashboard.xlsm]Age Demographic!Gender</c:name>
    <c:fmtId val="2"/>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'Age Demographic'!$L$14:$L$15</c:f>
              <c:strCache>
                <c:ptCount val="1"/>
                <c:pt idx="0">
                  <c:v>New York</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89B-4339-ACEF-23732EDD614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89B-4339-ACEF-23732EDD61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'Age Demographic'!$K$16:$K$17</c:f>
              <c:strCache>
                <c:ptCount val="2"/>
                <c:pt idx="0">
                  <c:v>Proportion of Males</c:v>
                </c:pt>
                <c:pt idx="1">
                  <c:v>Proportion of Females</c:v>
                </c:pt>
              </c:strCache>
            </c:strRef>
          </c:cat>
          <c:val>
            <c:numRef>
              <c:f>'Age Demographic'!$L$16:$L$17</c:f>
              <c:numCache>
                <c:formatCode>0.00%</c:formatCode>
                <c:ptCount val="2"/>
                <c:pt idx="0">
                  <c:v>0.47736896673315476</c:v>
                </c:pt>
                <c:pt idx="1">
                  <c:v>0.52263103326684524</c:v>
                </c:pt>
              </c:numCache>
            </c:numRef>
          </c:val>
          <c:extLst>
            <c:ext xmlns:c16="http://schemas.microsoft.com/office/drawing/2014/chart" uri="{C3380CC4-5D6E-409C-BE32-E72D297353CC}">
              <c16:uniqueId val="{00000019-4E5A-824E-8D9D-86D704DE5AF5}"/>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4 Dashboard.xlsm]Bottom Data!PivotTable3</c:name>
    <c:fmtId val="1"/>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spPr>
            <a:solidFill>
              <a:schemeClr val="accent1"/>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'Bottom Data'!$F$14:$F$15</c:f>
              <c:strCache>
                <c:ptCount val="1"/>
                <c:pt idx="0">
                  <c:v>Boston</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1B3-4F33-B8C4-1B5C7FEE7B3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F38-1F40-86D5-BCEEC4B21E2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'Bottom Data'!$E$16:$E$17</c:f>
              <c:strCache>
                <c:ptCount val="2"/>
                <c:pt idx="0">
                  <c:v>Proportion of Females</c:v>
                </c:pt>
                <c:pt idx="1">
                  <c:v>Proportion of Males</c:v>
                </c:pt>
              </c:strCache>
            </c:strRef>
          </c:cat>
          <c:val>
            <c:numRef>
              <c:f>'Bottom Data'!$F$16:$F$17</c:f>
              <c:numCache>
                <c:formatCode>0.00%</c:formatCode>
                <c:ptCount val="2"/>
                <c:pt idx="0">
                  <c:v>0.51879922744742479</c:v>
                </c:pt>
                <c:pt idx="1">
                  <c:v>0.48120077255257526</c:v>
                </c:pt>
              </c:numCache>
            </c:numRef>
          </c:val>
          <c:extLst>
            <c:ext xmlns:c16="http://schemas.microsoft.com/office/drawing/2014/chart" uri="{C3380CC4-5D6E-409C-BE32-E72D297353CC}">
              <c16:uniqueId val="{00000000-BF38-1F40-86D5-BCEEC4B21E2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4 Dashboard.xlsm]Bottom Data!Crime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 in the Cities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'Bottom Data'!$J$16</c:f>
              <c:strCache>
                <c:ptCount val="1"/>
                <c:pt idx="0">
                  <c:v>Total Crimes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'Bottom Data'!$I$17:$I$18</c:f>
              <c:strCache>
                <c:ptCount val="1"/>
                <c:pt idx="0">
                  <c:v>Boston</c:v>
                </c:pt>
              </c:strCache>
            </c:strRef>
          </c:cat>
          <c:val>
            <c:numRef>
              <c:f>'Bottom Data'!$J$17:$J$18</c:f>
              <c:numCache>
                <c:formatCode>General</c:formatCode>
                <c:ptCount val="1"/>
                <c:pt idx="0">
                  <c:v>2758.22</c:v>
                </c:pt>
              </c:numCache>
            </c:numRef>
          </c:val>
          <c:extLst>
            <c:ext xmlns:c16="http://schemas.microsoft.com/office/drawing/2014/chart" uri="{C3380CC4-5D6E-409C-BE32-E72D297353CC}">
              <c16:uniqueId val="{00000000-1380-A749-8E21-3F1EF102FD1D}"/>
            </c:ext>
          </c:extLst>
        </c:ser>
        <c:ser>
          <c:idx val="1"/>
          <c:order val="1"/>
          <c:tx>
            <c:strRef>
              <c:f>'Bottom Data'!$K$16</c:f>
              <c:strCache>
                <c:ptCount val="1"/>
                <c:pt idx="0">
                  <c:v>Total Violent Crimes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'Bottom Data'!$I$17:$I$18</c:f>
              <c:strCache>
                <c:ptCount val="1"/>
                <c:pt idx="0">
                  <c:v>Boston</c:v>
                </c:pt>
              </c:strCache>
            </c:strRef>
          </c:cat>
          <c:val>
            <c:numRef>
              <c:f>'Bottom Data'!$K$17:$K$18</c:f>
              <c:numCache>
                <c:formatCode>General</c:formatCode>
                <c:ptCount val="1"/>
                <c:pt idx="0">
                  <c:v>669.2</c:v>
                </c:pt>
              </c:numCache>
            </c:numRef>
          </c:val>
          <c:extLst>
            <c:ext xmlns:c16="http://schemas.microsoft.com/office/drawing/2014/chart" uri="{C3380CC4-5D6E-409C-BE32-E72D297353CC}">
              <c16:uniqueId val="{00000001-1380-A749-8E21-3F1EF102FD1D}"/>
            </c:ext>
          </c:extLst>
        </c:ser>
        <c:ser>
          <c:idx val="2"/>
          <c:order val="2"/>
          <c:tx>
            <c:strRef>
              <c:f>'Bottom Data'!$L$16</c:f>
              <c:strCache>
                <c:ptCount val="1"/>
                <c:pt idx="0">
                  <c:v>Total Property Crimes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'Bottom Data'!$I$17:$I$18</c:f>
              <c:strCache>
                <c:ptCount val="1"/>
                <c:pt idx="0">
                  <c:v>Boston</c:v>
                </c:pt>
              </c:strCache>
            </c:strRef>
          </c:cat>
          <c:val>
            <c:numRef>
              <c:f>'Bottom Data'!$L$17:$L$18</c:f>
              <c:numCache>
                <c:formatCode>General</c:formatCode>
                <c:ptCount val="1"/>
                <c:pt idx="0">
                  <c:v>2089.02</c:v>
                </c:pt>
              </c:numCache>
            </c:numRef>
          </c:val>
          <c:extLst>
            <c:ext xmlns:c16="http://schemas.microsoft.com/office/drawing/2014/chart" uri="{C3380CC4-5D6E-409C-BE32-E72D297353CC}">
              <c16:uniqueId val="{00000002-1380-A749-8E21-3F1EF102FD1D}"/>
            </c:ext>
          </c:extLst>
        </c:ser>
        <c:dLbls>
          <c:dLblPos val="outEnd"/>
          <c:showLegendKey val="0"/>
          <c:showVal val="1"/>
          <c:showCatName val="0"/>
          <c:showSerName val="0"/>
          <c:showPercent val="0"/>
          <c:showBubbleSize val="0"/>
        </c:dLbls>
        <c:gapWidth val="219"/>
        <c:overlap val="-27"/>
        <c:axId val="295927952"/>
        <c:axId val="849992512"/>
      </c:barChart>
      <c:catAx>
        <c:axId val="29592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992512"/>
        <c:crosses val="autoZero"/>
        <c:auto val="1"/>
        <c:lblAlgn val="ctr"/>
        <c:lblOffset val="100"/>
        <c:noMultiLvlLbl val="0"/>
      </c:catAx>
      <c:valAx>
        <c:axId val="849992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927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5" Type="http://schemas.openxmlformats.org/officeDocument/2006/relationships/image" Target="../media/image4.svg"/><Relationship Id="rId10" Type="http://schemas.openxmlformats.org/officeDocument/2006/relationships/chart" Target="../charts/chart2.xml"/><Relationship Id="rId4" Type="http://schemas.openxmlformats.org/officeDocument/2006/relationships/image" Target="../media/image3.png"/><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18</xdr:row>
          <xdr:rowOff>139700</xdr:rowOff>
        </xdr:from>
        <xdr:to>
          <xdr:col>4</xdr:col>
          <xdr:colOff>609600</xdr:colOff>
          <xdr:row>24</xdr:row>
          <xdr:rowOff>12700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charset="0"/>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165100</xdr:rowOff>
        </xdr:from>
        <xdr:to>
          <xdr:col>9</xdr:col>
          <xdr:colOff>647700</xdr:colOff>
          <xdr:row>24</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E92F538F-A6D5-E077-F694-325D852A82B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charset="0"/>
                </a:rPr>
                <a:t>Information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50800</xdr:colOff>
          <xdr:row>1</xdr:row>
          <xdr:rowOff>38100</xdr:rowOff>
        </xdr:from>
        <xdr:to>
          <xdr:col>10</xdr:col>
          <xdr:colOff>774700</xdr:colOff>
          <xdr:row>4</xdr:row>
          <xdr:rowOff>152400</xdr:rowOff>
        </xdr:to>
        <xdr:sp macro="" textlink="">
          <xdr:nvSpPr>
            <xdr:cNvPr id="2049" name="Button 1" descr="Click Here for Highest Data Analyst Salary!"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Click Here for Highest Data Analyst Salary!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1</xdr:row>
          <xdr:rowOff>50800</xdr:rowOff>
        </xdr:from>
        <xdr:to>
          <xdr:col>12</xdr:col>
          <xdr:colOff>800100</xdr:colOff>
          <xdr:row>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Click Here for Lowest Data Analyst Salary!</a:t>
              </a:r>
            </a:p>
          </xdr:txBody>
        </xdr:sp>
        <xdr:clientData fPrintsWithSheet="0"/>
      </xdr:twoCellAnchor>
    </mc:Choice>
    <mc:Fallback/>
  </mc:AlternateContent>
  <xdr:twoCellAnchor>
    <xdr:from>
      <xdr:col>8</xdr:col>
      <xdr:colOff>79375</xdr:colOff>
      <xdr:row>23</xdr:row>
      <xdr:rowOff>111125</xdr:rowOff>
    </xdr:from>
    <xdr:to>
      <xdr:col>12</xdr:col>
      <xdr:colOff>746125</xdr:colOff>
      <xdr:row>41</xdr:row>
      <xdr:rowOff>95248</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63500</xdr:colOff>
      <xdr:row>31</xdr:row>
      <xdr:rowOff>79375</xdr:rowOff>
    </xdr:from>
    <xdr:to>
      <xdr:col>13</xdr:col>
      <xdr:colOff>777875</xdr:colOff>
      <xdr:row>34</xdr:row>
      <xdr:rowOff>158750</xdr:rowOff>
    </xdr:to>
    <xdr:pic>
      <xdr:nvPicPr>
        <xdr:cNvPr id="3" name="Graphic 2" descr="Flying Money outline">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525000" y="6699250"/>
          <a:ext cx="714375" cy="714375"/>
        </a:xfrm>
        <a:prstGeom prst="rect">
          <a:avLst/>
        </a:prstGeom>
      </xdr:spPr>
    </xdr:pic>
    <xdr:clientData/>
  </xdr:twoCellAnchor>
  <xdr:twoCellAnchor editAs="oneCell">
    <xdr:from>
      <xdr:col>13</xdr:col>
      <xdr:colOff>79375</xdr:colOff>
      <xdr:row>37</xdr:row>
      <xdr:rowOff>0</xdr:rowOff>
    </xdr:from>
    <xdr:to>
      <xdr:col>13</xdr:col>
      <xdr:colOff>762000</xdr:colOff>
      <xdr:row>39</xdr:row>
      <xdr:rowOff>79375</xdr:rowOff>
    </xdr:to>
    <xdr:pic>
      <xdr:nvPicPr>
        <xdr:cNvPr id="12" name="Graphic 11" descr="Rating Star with solid fill">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540875" y="7826375"/>
          <a:ext cx="682625" cy="682625"/>
        </a:xfrm>
        <a:prstGeom prst="rect">
          <a:avLst/>
        </a:prstGeom>
      </xdr:spPr>
    </xdr:pic>
    <xdr:clientData/>
  </xdr:twoCellAnchor>
  <xdr:twoCellAnchor editAs="oneCell">
    <xdr:from>
      <xdr:col>13</xdr:col>
      <xdr:colOff>15875</xdr:colOff>
      <xdr:row>26</xdr:row>
      <xdr:rowOff>79375</xdr:rowOff>
    </xdr:from>
    <xdr:to>
      <xdr:col>14</xdr:col>
      <xdr:colOff>0</xdr:colOff>
      <xdr:row>30</xdr:row>
      <xdr:rowOff>15875</xdr:rowOff>
    </xdr:to>
    <xdr:pic>
      <xdr:nvPicPr>
        <xdr:cNvPr id="14" name="Graphic 13" descr="Rating with solid fill">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9477375" y="5603875"/>
          <a:ext cx="825500" cy="825500"/>
        </a:xfrm>
        <a:prstGeom prst="rect">
          <a:avLst/>
        </a:prstGeom>
      </xdr:spPr>
    </xdr:pic>
    <xdr:clientData/>
  </xdr:twoCellAnchor>
  <xdr:twoCellAnchor editAs="oneCell">
    <xdr:from>
      <xdr:col>11</xdr:col>
      <xdr:colOff>635001</xdr:colOff>
      <xdr:row>16</xdr:row>
      <xdr:rowOff>158751</xdr:rowOff>
    </xdr:from>
    <xdr:to>
      <xdr:col>13</xdr:col>
      <xdr:colOff>90267</xdr:colOff>
      <xdr:row>21</xdr:row>
      <xdr:rowOff>285751</xdr:rowOff>
    </xdr:to>
    <xdr:pic>
      <xdr:nvPicPr>
        <xdr:cNvPr id="16" name="Picture 15" descr="Quality of life - Free wellness icons">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413751" y="3413126"/>
          <a:ext cx="1138016"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730251</xdr:colOff>
      <xdr:row>18</xdr:row>
      <xdr:rowOff>0</xdr:rowOff>
    </xdr:from>
    <xdr:to>
      <xdr:col>16</xdr:col>
      <xdr:colOff>738718</xdr:colOff>
      <xdr:row>21</xdr:row>
      <xdr:rowOff>269875</xdr:rowOff>
    </xdr:to>
    <xdr:pic>
      <xdr:nvPicPr>
        <xdr:cNvPr id="17" name="Picture 16" descr="cost of living Icon - Free PNG &amp; SVG 2854828 - Noun Project">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1874501" y="3683000"/>
          <a:ext cx="849842"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111125</xdr:colOff>
      <xdr:row>5</xdr:row>
      <xdr:rowOff>79374</xdr:rowOff>
    </xdr:from>
    <xdr:to>
      <xdr:col>7</xdr:col>
      <xdr:colOff>746125</xdr:colOff>
      <xdr:row>21</xdr:row>
      <xdr:rowOff>253999</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47624</xdr:colOff>
      <xdr:row>23</xdr:row>
      <xdr:rowOff>47625</xdr:rowOff>
    </xdr:from>
    <xdr:to>
      <xdr:col>3</xdr:col>
      <xdr:colOff>793749</xdr:colOff>
      <xdr:row>41</xdr:row>
      <xdr:rowOff>127000</xdr:rowOff>
    </xdr:to>
    <mc:AlternateContent xmlns:mc="http://schemas.openxmlformats.org/markup-compatibility/2006" xmlns:a14="http://schemas.microsoft.com/office/drawing/2010/main">
      <mc:Choice Requires="a14">
        <xdr:graphicFrame macro="">
          <xdr:nvGraphicFramePr>
            <xdr:cNvPr id="4" name="City 4">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ity 4"/>
            </a:graphicData>
          </a:graphic>
        </xdr:graphicFrame>
      </mc:Choice>
      <mc:Fallback xmlns="">
        <xdr:sp macro="" textlink="">
          <xdr:nvSpPr>
            <xdr:cNvPr id="0" name=""/>
            <xdr:cNvSpPr>
              <a:spLocks noTextEdit="1"/>
            </xdr:cNvSpPr>
          </xdr:nvSpPr>
          <xdr:spPr>
            <a:xfrm>
              <a:off x="396874" y="4810125"/>
              <a:ext cx="2428875" cy="412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18</xdr:col>
          <xdr:colOff>222249</xdr:colOff>
          <xdr:row>2</xdr:row>
          <xdr:rowOff>15875</xdr:rowOff>
        </xdr:from>
        <xdr:to>
          <xdr:col>20</xdr:col>
          <xdr:colOff>650874</xdr:colOff>
          <xdr:row>15</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D3A53C8C-2C20-DE22-3F98-39CD2C8DF19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600" b="0" i="0" u="none" strike="noStrike" baseline="0">
                  <a:solidFill>
                    <a:srgbClr val="000000"/>
                  </a:solidFill>
                  <a:latin typeface="Aptos Narrow" charset="0"/>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222250</xdr:colOff>
          <xdr:row>23</xdr:row>
          <xdr:rowOff>174625</xdr:rowOff>
        </xdr:from>
        <xdr:to>
          <xdr:col>20</xdr:col>
          <xdr:colOff>650875</xdr:colOff>
          <xdr:row>36</xdr:row>
          <xdr:rowOff>79375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CE4F95FB-848E-098E-5E16-B7B85F242A7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600" b="0" i="0" u="none" strike="noStrike" baseline="0">
                  <a:solidFill>
                    <a:srgbClr val="000000"/>
                  </a:solidFill>
                  <a:latin typeface="Aptos Narrow" charset="0"/>
                </a:rPr>
                <a:t>Information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1</xdr:row>
          <xdr:rowOff>152400</xdr:rowOff>
        </xdr:from>
        <xdr:to>
          <xdr:col>5</xdr:col>
          <xdr:colOff>431800</xdr:colOff>
          <xdr:row>5</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D68CFD59-D8BF-60EE-5C61-F781B1CA29B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13</xdr:row>
          <xdr:rowOff>165100</xdr:rowOff>
        </xdr:from>
        <xdr:to>
          <xdr:col>5</xdr:col>
          <xdr:colOff>431800</xdr:colOff>
          <xdr:row>17</xdr:row>
          <xdr:rowOff>177800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28DDA75-AC74-9A03-C1EA-0D6CC115A9E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Home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741362</xdr:colOff>
      <xdr:row>21</xdr:row>
      <xdr:rowOff>106362</xdr:rowOff>
    </xdr:from>
    <xdr:to>
      <xdr:col>15</xdr:col>
      <xdr:colOff>1179512</xdr:colOff>
      <xdr:row>35</xdr:row>
      <xdr:rowOff>46037</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177800</xdr:colOff>
      <xdr:row>13</xdr:row>
      <xdr:rowOff>12700</xdr:rowOff>
    </xdr:from>
    <xdr:to>
      <xdr:col>19</xdr:col>
      <xdr:colOff>152400</xdr:colOff>
      <xdr:row>30</xdr:row>
      <xdr:rowOff>177800</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3050500" y="2654300"/>
              <a:ext cx="2425700" cy="3619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50800</xdr:colOff>
      <xdr:row>21</xdr:row>
      <xdr:rowOff>38100</xdr:rowOff>
    </xdr:from>
    <xdr:to>
      <xdr:col>6</xdr:col>
      <xdr:colOff>660400</xdr:colOff>
      <xdr:row>34</xdr:row>
      <xdr:rowOff>15872</xdr:rowOff>
    </xdr:to>
    <mc:AlternateContent xmlns:mc="http://schemas.openxmlformats.org/markup-compatibility/2006" xmlns:a14="http://schemas.microsoft.com/office/drawing/2010/main">
      <mc:Choice Requires="a14">
        <xdr:graphicFrame macro="">
          <xdr:nvGraphicFramePr>
            <xdr:cNvPr id="5" name="City 2">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7505700" y="43053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1022350</xdr:colOff>
      <xdr:row>22</xdr:row>
      <xdr:rowOff>44450</xdr:rowOff>
    </xdr:from>
    <xdr:to>
      <xdr:col>4</xdr:col>
      <xdr:colOff>1187450</xdr:colOff>
      <xdr:row>35</xdr:row>
      <xdr:rowOff>146050</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1136650</xdr:colOff>
      <xdr:row>21</xdr:row>
      <xdr:rowOff>152400</xdr:rowOff>
    </xdr:from>
    <xdr:to>
      <xdr:col>11</xdr:col>
      <xdr:colOff>400050</xdr:colOff>
      <xdr:row>35</xdr:row>
      <xdr:rowOff>50800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633.613465972223" createdVersion="8" refreshedVersion="8" minRefreshableVersion="3" recordCount="10" xr:uid="{B41582CA-DCA7-4FA4-A753-BD4788071ED7}">
  <cacheSource type="worksheet">
    <worksheetSource ref="K1:U11" sheet="Age Demographic"/>
  </cacheSource>
  <cacheFields count="11">
    <cacheField name="City" numFmtId="0">
      <sharedItems count="12">
        <s v="Atlanta"/>
        <s v="Austin"/>
        <s v="Boston"/>
        <s v="Chicago"/>
        <s v="Los Angeles"/>
        <s v="Miami"/>
        <s v="New York"/>
        <s v="Pittsburgh"/>
        <s v="San Diego"/>
        <s v="Washington D.C"/>
        <s v="Washington" u="1"/>
        <s v="Pittsburg" u="1"/>
      </sharedItems>
    </cacheField>
    <cacheField name="State" numFmtId="0">
      <sharedItems/>
    </cacheField>
    <cacheField name="Median Age" numFmtId="0">
      <sharedItems containsSemiMixedTypes="0" containsString="0" containsNumber="1" minValue="31.8" maxValue="40.4"/>
    </cacheField>
    <cacheField name="Male Population" numFmtId="0">
      <sharedItems containsSemiMixedTypes="0" containsString="0" containsNumber="1" containsInteger="1" minValue="33309" maxValue="4081698"/>
    </cacheField>
    <cacheField name="Male Proportion" numFmtId="10">
      <sharedItems containsSemiMixedTypes="0" containsString="0" containsNumber="1" minValue="0.47559012715923765" maxValue="0.51051468063186811"/>
    </cacheField>
    <cacheField name="Female Population" numFmtId="0">
      <sharedItems containsSemiMixedTypes="0" containsString="0" containsNumber="1" containsInteger="1" minValue="36118" maxValue="4468707"/>
    </cacheField>
    <cacheField name="Female Proportion" numFmtId="10">
      <sharedItems containsSemiMixedTypes="0" containsString="0" containsNumber="1" minValue="0.48948531936813189" maxValue="0.52440987284076235"/>
    </cacheField>
    <cacheField name="Total Population" numFmtId="0">
      <sharedItems containsSemiMixedTypes="0" containsString="0" containsNumber="1" containsInteger="1" minValue="69427" maxValue="8550405"/>
    </cacheField>
    <cacheField name="Number of Veterans" numFmtId="0">
      <sharedItems containsSemiMixedTypes="0" containsString="0" containsNumber="1" containsInteger="1" minValue="2109" maxValue="156961"/>
    </cacheField>
    <cacheField name="Foreign-born" numFmtId="0">
      <sharedItems containsSemiMixedTypes="0" containsString="0" containsNumber="1" containsInteger="1" minValue="21043" maxValue="3212500"/>
    </cacheField>
    <cacheField name="Average Household Size" numFmtId="0">
      <sharedItems containsSemiMixedTypes="0" containsString="0" containsNumber="1" minValue="2.15" maxValue="3.15"/>
    </cacheField>
  </cacheFields>
  <extLst>
    <ext xmlns:x14="http://schemas.microsoft.com/office/spreadsheetml/2009/9/main" uri="{725AE2AE-9491-48be-B2B4-4EB974FC3084}">
      <x14:pivotCacheDefinition pivotCacheId="7261265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635.477342708335" createdVersion="8" refreshedVersion="8" minRefreshableVersion="3" recordCount="10" xr:uid="{95FB2921-F083-CF4C-AFCF-8D094532F73D}">
  <cacheSource type="worksheet">
    <worksheetSource ref="A1:L11" sheet="Bottom Data"/>
  </cacheSource>
  <cacheFields count="12">
    <cacheField name="City" numFmtId="0">
      <sharedItems count="10">
        <s v="Atlanta"/>
        <s v="Austin"/>
        <s v="Boston"/>
        <s v="Chicago"/>
        <s v="Los Angeles"/>
        <s v="Miami"/>
        <s v="NYC"/>
        <s v="Pittsburgh"/>
        <s v="San Diego"/>
        <s v="Washington D.C"/>
      </sharedItems>
    </cacheField>
    <cacheField name="State" numFmtId="0">
      <sharedItems count="9">
        <s v="Georgia"/>
        <s v="Texas"/>
        <s v="Massachusetts"/>
        <s v="Illinois"/>
        <s v="California"/>
        <s v="Florida"/>
        <s v="New York"/>
        <s v="Pennsylvania"/>
        <s v="District of Columbia"/>
      </sharedItems>
    </cacheField>
    <cacheField name="Median Age" numFmtId="0">
      <sharedItems containsSemiMixedTypes="0" containsString="0" containsNumber="1" minValue="31.8" maxValue="40.4"/>
    </cacheField>
    <cacheField name="Male Proportion" numFmtId="0">
      <sharedItems containsSemiMixedTypes="0" containsString="0" containsNumber="1" minValue="0.47559012715923765" maxValue="0.51051468063186811"/>
    </cacheField>
    <cacheField name="Female Proportion" numFmtId="0">
      <sharedItems containsSemiMixedTypes="0" containsString="0" containsNumber="1" minValue="0.48948531936813189" maxValue="0.52440987284076235"/>
    </cacheField>
    <cacheField name="Total Population" numFmtId="0">
      <sharedItems containsSemiMixedTypes="0" containsString="0" containsNumber="1" containsInteger="1" minValue="69427" maxValue="8550405"/>
    </cacheField>
    <cacheField name="Overall Best Foodie Cities Rank" numFmtId="0">
      <sharedItems containsSemiMixedTypes="0" containsString="0" containsNumber="1" containsInteger="1" minValue="1" maxValue="45"/>
    </cacheField>
    <cacheField name="Affordability Rank " numFmtId="0">
      <sharedItems containsSemiMixedTypes="0" containsString="0" containsNumber="1" containsInteger="1" minValue="12" maxValue="178"/>
    </cacheField>
    <cacheField name="Diversity, Accessibility &amp; Quality Rank " numFmtId="0">
      <sharedItems containsSemiMixedTypes="0" containsString="0" containsNumber="1" containsInteger="1" minValue="1" maxValue="39"/>
    </cacheField>
    <cacheField name="Total Crime" numFmtId="0">
      <sharedItems containsSemiMixedTypes="0" containsString="0" containsNumber="1" minValue="1987.49" maxValue="5727.52"/>
    </cacheField>
    <cacheField name="Total Violent Crime" numFmtId="0">
      <sharedItems containsSemiMixedTypes="0" containsString="0" containsNumber="1" minValue="366.61" maxValue="1098.8599999999999"/>
    </cacheField>
    <cacheField name="Total Propert Crime" numFmtId="0">
      <sharedItems containsSemiMixedTypes="0" containsString="0" containsNumber="1" minValue="1448.59" maxValue="4776.43"/>
    </cacheField>
  </cacheFields>
  <extLst>
    <ext xmlns:x14="http://schemas.microsoft.com/office/spreadsheetml/2009/9/main" uri="{725AE2AE-9491-48be-B2B4-4EB974FC3084}">
      <x14:pivotCacheDefinition pivotCacheId="1994175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s v="Georgia"/>
    <n v="33.799999999999997"/>
    <n v="223960"/>
    <n v="0.48280247911614121"/>
    <n v="239915"/>
    <n v="0.51719752088385884"/>
    <n v="463875"/>
    <n v="18572"/>
    <n v="32016"/>
    <n v="2.15"/>
  </r>
  <r>
    <x v="1"/>
    <s v="Texas"/>
    <n v="32.700000000000003"/>
    <n v="475718"/>
    <n v="0.51051468063186811"/>
    <n v="456122"/>
    <n v="0.48948531936813189"/>
    <n v="931840"/>
    <n v="37414"/>
    <n v="181686"/>
    <n v="2.5"/>
  </r>
  <r>
    <x v="2"/>
    <s v="Massachusetts"/>
    <n v="31.8"/>
    <n v="322149"/>
    <n v="0.48120077255257526"/>
    <n v="347320"/>
    <n v="0.51879922744742479"/>
    <n v="669469"/>
    <n v="18350"/>
    <n v="190123"/>
    <n v="2.38"/>
  </r>
  <r>
    <x v="3"/>
    <s v="Illinois"/>
    <n v="34.200000000000003"/>
    <n v="1320015"/>
    <n v="0.48520045167237874"/>
    <n v="1400541"/>
    <n v="0.51479954832762131"/>
    <n v="2720556"/>
    <n v="72042"/>
    <n v="573463"/>
    <n v="2.5299999999999998"/>
  </r>
  <r>
    <x v="4"/>
    <s v="California"/>
    <n v="35"/>
    <n v="1958998"/>
    <n v="0.49321482737715189"/>
    <n v="2012898"/>
    <n v="0.50678517262284817"/>
    <n v="3971896"/>
    <n v="85417"/>
    <n v="1485425"/>
    <n v="2.86"/>
  </r>
  <r>
    <x v="5"/>
    <s v="Florida"/>
    <n v="40.4"/>
    <n v="215840"/>
    <n v="0.48944531496250471"/>
    <n v="225149"/>
    <n v="0.51055468503749524"/>
    <n v="440989"/>
    <n v="7233"/>
    <n v="260789"/>
    <n v="2.5"/>
  </r>
  <r>
    <x v="6"/>
    <s v="New York"/>
    <n v="36"/>
    <n v="4081698"/>
    <n v="0.47736896673315476"/>
    <n v="4468707"/>
    <n v="0.52263103326684524"/>
    <n v="8550405"/>
    <n v="156961"/>
    <n v="3212500"/>
    <n v="2.68"/>
  </r>
  <r>
    <x v="7"/>
    <s v="California"/>
    <n v="34.5"/>
    <n v="33309"/>
    <n v="0.47977011825370536"/>
    <n v="36118"/>
    <n v="0.5202298817462947"/>
    <n v="69427"/>
    <n v="2109"/>
    <n v="21043"/>
    <n v="3.15"/>
  </r>
  <r>
    <x v="8"/>
    <s v="California"/>
    <n v="34.5"/>
    <n v="693826"/>
    <n v="0.4973994682082748"/>
    <n v="701081"/>
    <n v="0.50260053179172515"/>
    <n v="1394907"/>
    <n v="92489"/>
    <n v="373842"/>
    <n v="2.73"/>
  </r>
  <r>
    <x v="9"/>
    <s v="District of Columbia"/>
    <n v="33.799999999999997"/>
    <n v="319705"/>
    <n v="0.47559012715923765"/>
    <n v="352523"/>
    <n v="0.52440987284076235"/>
    <n v="672228"/>
    <n v="25963"/>
    <n v="95117"/>
    <n v="2.240000000000000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n v="33.799999999999997"/>
    <n v="0.48280247911614121"/>
    <n v="0.51719752088385884"/>
    <n v="463875"/>
    <n v="11"/>
    <n v="167"/>
    <n v="7"/>
    <n v="5727.52"/>
    <n v="935.72"/>
    <n v="4776.43"/>
  </r>
  <r>
    <x v="1"/>
    <x v="1"/>
    <n v="32.700000000000003"/>
    <n v="0.51051468063186811"/>
    <n v="0.48948531936813189"/>
    <n v="931840"/>
    <n v="14"/>
    <n v="81"/>
    <n v="16"/>
    <n v="3612.23"/>
    <n v="414.84"/>
    <n v="3189.57"/>
  </r>
  <r>
    <x v="2"/>
    <x v="2"/>
    <n v="31.8"/>
    <n v="0.48120077255257526"/>
    <n v="0.51879922744742479"/>
    <n v="669469"/>
    <n v="45"/>
    <n v="114"/>
    <n v="39"/>
    <n v="2758.22"/>
    <n v="669.2"/>
    <n v="2089.02"/>
  </r>
  <r>
    <x v="3"/>
    <x v="3"/>
    <n v="34.200000000000003"/>
    <n v="0.48520045167237874"/>
    <n v="0.51479954832762131"/>
    <n v="2720556"/>
    <n v="18"/>
    <n v="126"/>
    <n v="17"/>
    <n v="4381.6499999999996"/>
    <n v="1098.8599999999999"/>
    <n v="3263.8"/>
  </r>
  <r>
    <x v="4"/>
    <x v="4"/>
    <n v="35"/>
    <n v="0.49321482737715189"/>
    <n v="0.50678517262284817"/>
    <n v="3971896"/>
    <n v="13"/>
    <n v="170"/>
    <n v="12"/>
    <n v="3332.52"/>
    <n v="761.31"/>
    <n v="2535.92"/>
  </r>
  <r>
    <x v="5"/>
    <x v="5"/>
    <n v="40.4"/>
    <n v="0.48944531496250471"/>
    <n v="0.51055468503749524"/>
    <n v="440989"/>
    <n v="1"/>
    <n v="145"/>
    <n v="1"/>
    <n v="4750.8900000000003"/>
    <n v="720.94"/>
    <n v="4014.18"/>
  </r>
  <r>
    <x v="6"/>
    <x v="6"/>
    <n v="36"/>
    <n v="0.47736896673315476"/>
    <n v="0.52263103326684524"/>
    <n v="8550405"/>
    <n v="16"/>
    <n v="178"/>
    <n v="11"/>
    <n v="1987.49"/>
    <n v="538.9"/>
    <n v="1448.59"/>
  </r>
  <r>
    <x v="7"/>
    <x v="7"/>
    <n v="34.5"/>
    <n v="0.47977011825370536"/>
    <n v="0.5202298817462947"/>
    <n v="69427"/>
    <n v="15"/>
    <n v="12"/>
    <n v="22"/>
    <n v="3815.23"/>
    <n v="656.36"/>
    <n v="3114.42"/>
  </r>
  <r>
    <x v="8"/>
    <x v="4"/>
    <n v="34.5"/>
    <n v="0.4973994682082748"/>
    <n v="0.50260053179172515"/>
    <n v="1394907"/>
    <n v="10"/>
    <n v="147"/>
    <n v="10"/>
    <n v="2220.67"/>
    <n v="366.61"/>
    <n v="1842.97"/>
  </r>
  <r>
    <x v="9"/>
    <x v="8"/>
    <n v="33.799999999999997"/>
    <n v="0.47559012715923765"/>
    <n v="0.52440987284076235"/>
    <n v="672228"/>
    <n v="20"/>
    <n v="134"/>
    <n v="18"/>
    <n v="5104.96"/>
    <n v="948.74"/>
    <n v="4156.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8CCA20-79CE-48BC-BD33-0A46FEF7E5F2}" name="Age Demographic"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14:P16" firstHeaderRow="0" firstDataRow="1" firstDataCol="1"/>
  <pivotFields count="11">
    <pivotField axis="axisRow" showAll="0">
      <items count="13">
        <item h="1" x="0"/>
        <item h="1" x="1"/>
        <item h="1" x="2"/>
        <item h="1" x="3"/>
        <item h="1" x="4"/>
        <item h="1" x="5"/>
        <item x="6"/>
        <item h="1" m="1" x="11"/>
        <item h="1" x="8"/>
        <item h="1" m="1" x="10"/>
        <item h="1" x="7"/>
        <item h="1" x="9"/>
        <item t="default"/>
      </items>
    </pivotField>
    <pivotField showAll="0"/>
    <pivotField dataField="1" showAll="0"/>
    <pivotField showAll="0"/>
    <pivotField numFmtId="10" showAll="0"/>
    <pivotField showAll="0"/>
    <pivotField numFmtId="10" showAll="0"/>
    <pivotField dataField="1" showAll="0"/>
    <pivotField showAll="0"/>
    <pivotField showAll="0"/>
    <pivotField showAll="0"/>
  </pivotFields>
  <rowFields count="1">
    <field x="0"/>
  </rowFields>
  <rowItems count="2">
    <i>
      <x v="6"/>
    </i>
    <i t="grand">
      <x/>
    </i>
  </rowItems>
  <colFields count="1">
    <field x="-2"/>
  </colFields>
  <colItems count="2">
    <i>
      <x/>
    </i>
    <i i="1">
      <x v="1"/>
    </i>
  </colItems>
  <dataFields count="2">
    <dataField name="City Median Age" fld="2" baseField="0" baseItem="0"/>
    <dataField name="Sum of Total Population"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D9D4DA-5AF9-4002-9D03-D9C183A626C8}" name="Gender" cacheId="3" dataOnRows="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0">
  <location ref="K14:L17" firstHeaderRow="1" firstDataRow="2" firstDataCol="1"/>
  <pivotFields count="11">
    <pivotField axis="axisCol" showAll="0">
      <items count="13">
        <item h="1" x="0"/>
        <item h="1" x="1"/>
        <item h="1" x="2"/>
        <item h="1" x="3"/>
        <item h="1" x="4"/>
        <item h="1" x="5"/>
        <item x="6"/>
        <item h="1" m="1" x="11"/>
        <item h="1" x="8"/>
        <item h="1" m="1" x="10"/>
        <item h="1" x="7"/>
        <item h="1" x="9"/>
        <item t="default"/>
      </items>
    </pivotField>
    <pivotField showAll="0"/>
    <pivotField showAll="0"/>
    <pivotField showAll="0"/>
    <pivotField dataField="1" numFmtId="10" showAll="0"/>
    <pivotField showAll="0"/>
    <pivotField dataField="1" numFmtId="10" showAll="0"/>
    <pivotField showAll="0"/>
    <pivotField showAll="0"/>
    <pivotField showAll="0"/>
    <pivotField showAll="0"/>
  </pivotFields>
  <rowFields count="1">
    <field x="-2"/>
  </rowFields>
  <rowItems count="2">
    <i>
      <x/>
    </i>
    <i i="1">
      <x v="1"/>
    </i>
  </rowItems>
  <colFields count="1">
    <field x="0"/>
  </colFields>
  <colItems count="1">
    <i>
      <x v="6"/>
    </i>
  </colItems>
  <dataFields count="2">
    <dataField name="Proportion of Males" fld="4" baseField="0" baseItem="0" numFmtId="10"/>
    <dataField name="Proportion of Females" fld="6" baseField="0" baseItem="0" numFmtId="10"/>
  </dataFields>
  <chartFormats count="3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0"/>
          </reference>
        </references>
      </pivotArea>
    </chartFormat>
    <chartFormat chart="9" format="4">
      <pivotArea type="data" outline="0" fieldPosition="0">
        <references count="2">
          <reference field="4294967294" count="1" selected="0">
            <x v="0"/>
          </reference>
          <reference field="0" count="1" selected="0">
            <x v="0"/>
          </reference>
        </references>
      </pivotArea>
    </chartFormat>
    <chartFormat chart="9" format="5" series="1">
      <pivotArea type="data" outline="0" fieldPosition="0">
        <references count="1">
          <reference field="4294967294" count="1" selected="0">
            <x v="1"/>
          </reference>
        </references>
      </pivotArea>
    </chartFormat>
    <chartFormat chart="9" format="6">
      <pivotArea type="data" outline="0" fieldPosition="0">
        <references count="2">
          <reference field="4294967294" count="1" selected="0">
            <x v="1"/>
          </reference>
          <reference field="0" count="1" selected="0">
            <x v="0"/>
          </reference>
        </references>
      </pivotArea>
    </chartFormat>
    <chartFormat chart="10" format="9" series="1">
      <pivotArea type="data" outline="0" fieldPosition="0">
        <references count="1">
          <reference field="4294967294" count="1" selected="0">
            <x v="0"/>
          </reference>
        </references>
      </pivotArea>
    </chartFormat>
    <chartFormat chart="10" format="10">
      <pivotArea type="data" outline="0" fieldPosition="0">
        <references count="2">
          <reference field="4294967294" count="1" selected="0">
            <x v="0"/>
          </reference>
          <reference field="0" count="1" selected="0">
            <x v="0"/>
          </reference>
        </references>
      </pivotArea>
    </chartFormat>
    <chartFormat chart="10" format="11" series="1">
      <pivotArea type="data" outline="0" fieldPosition="0">
        <references count="1">
          <reference field="4294967294" count="1" selected="0">
            <x v="1"/>
          </reference>
        </references>
      </pivotArea>
    </chartFormat>
    <chartFormat chart="10" format="12">
      <pivotArea type="data" outline="0" fieldPosition="0">
        <references count="2">
          <reference field="4294967294" count="1" selected="0">
            <x v="1"/>
          </reference>
          <reference field="0"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2" format="3">
      <pivotArea type="data" outline="0" fieldPosition="0">
        <references count="1">
          <reference field="4294967294" count="1" selected="0">
            <x v="0"/>
          </reference>
        </references>
      </pivotArea>
    </chartFormat>
    <chartFormat chart="2" format="4">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pivotArea type="data" outline="0" fieldPosition="0">
        <references count="1">
          <reference field="4294967294" count="1" selected="0">
            <x v="0"/>
          </reference>
        </references>
      </pivotArea>
    </chartFormat>
    <chartFormat chart="19" format="10">
      <pivotArea type="data" outline="0" fieldPosition="0">
        <references count="1">
          <reference field="4294967294" count="1" selected="0">
            <x v="1"/>
          </reference>
        </references>
      </pivotArea>
    </chartFormat>
    <chartFormat chart="19" format="11" series="1">
      <pivotArea type="data" outline="0" fieldPosition="0">
        <references count="2">
          <reference field="4294967294" count="1" selected="0">
            <x v="0"/>
          </reference>
          <reference field="0" count="1" selected="0">
            <x v="1"/>
          </reference>
        </references>
      </pivotArea>
    </chartFormat>
    <chartFormat chart="19" format="12" series="1">
      <pivotArea type="data" outline="0" fieldPosition="0">
        <references count="2">
          <reference field="4294967294" count="1" selected="0">
            <x v="0"/>
          </reference>
          <reference field="0" count="1" selected="0">
            <x v="2"/>
          </reference>
        </references>
      </pivotArea>
    </chartFormat>
    <chartFormat chart="19" format="13" series="1">
      <pivotArea type="data" outline="0" fieldPosition="0">
        <references count="2">
          <reference field="4294967294" count="1" selected="0">
            <x v="0"/>
          </reference>
          <reference field="0" count="1" selected="0">
            <x v="3"/>
          </reference>
        </references>
      </pivotArea>
    </chartFormat>
    <chartFormat chart="19" format="14" series="1">
      <pivotArea type="data" outline="0" fieldPosition="0">
        <references count="2">
          <reference field="4294967294" count="1" selected="0">
            <x v="0"/>
          </reference>
          <reference field="0" count="1" selected="0">
            <x v="4"/>
          </reference>
        </references>
      </pivotArea>
    </chartFormat>
    <chartFormat chart="19" format="15" series="1">
      <pivotArea type="data" outline="0" fieldPosition="0">
        <references count="2">
          <reference field="4294967294" count="1" selected="0">
            <x v="0"/>
          </reference>
          <reference field="0" count="1" selected="0">
            <x v="5"/>
          </reference>
        </references>
      </pivotArea>
    </chartFormat>
    <chartFormat chart="19" format="16" series="1">
      <pivotArea type="data" outline="0" fieldPosition="0">
        <references count="2">
          <reference field="4294967294" count="1" selected="0">
            <x v="0"/>
          </reference>
          <reference field="0" count="1" selected="0">
            <x v="6"/>
          </reference>
        </references>
      </pivotArea>
    </chartFormat>
    <chartFormat chart="19" format="17" series="1">
      <pivotArea type="data" outline="0" fieldPosition="0">
        <references count="2">
          <reference field="4294967294" count="1" selected="0">
            <x v="0"/>
          </reference>
          <reference field="0" count="1" selected="0">
            <x v="8"/>
          </reference>
        </references>
      </pivotArea>
    </chartFormat>
    <chartFormat chart="19" format="18" series="1">
      <pivotArea type="data" outline="0" fieldPosition="0">
        <references count="2">
          <reference field="4294967294" count="1" selected="0">
            <x v="0"/>
          </reference>
          <reference field="0" count="1" selected="0">
            <x v="10"/>
          </reference>
        </references>
      </pivotArea>
    </chartFormat>
    <chartFormat chart="19" format="19" series="1">
      <pivotArea type="data" outline="0" fieldPosition="0">
        <references count="2">
          <reference field="4294967294" count="1" selected="0">
            <x v="0"/>
          </reference>
          <reference field="0" count="1" selected="0">
            <x v="11"/>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2" format="6" series="1">
      <pivotArea type="data" outline="0" fieldPosition="0">
        <references count="2">
          <reference field="4294967294" count="1" selected="0">
            <x v="0"/>
          </reference>
          <reference field="0" count="1" selected="0">
            <x v="2"/>
          </reference>
        </references>
      </pivotArea>
    </chartFormat>
    <chartFormat chart="2" format="7" series="1">
      <pivotArea type="data" outline="0" fieldPosition="0">
        <references count="2">
          <reference field="4294967294" count="1" selected="0">
            <x v="0"/>
          </reference>
          <reference field="0" count="1" selected="0">
            <x v="3"/>
          </reference>
        </references>
      </pivotArea>
    </chartFormat>
    <chartFormat chart="2" format="8" series="1">
      <pivotArea type="data" outline="0" fieldPosition="0">
        <references count="2">
          <reference field="4294967294" count="1" selected="0">
            <x v="0"/>
          </reference>
          <reference field="0" count="1" selected="0">
            <x v="4"/>
          </reference>
        </references>
      </pivotArea>
    </chartFormat>
    <chartFormat chart="2" format="9" series="1">
      <pivotArea type="data" outline="0" fieldPosition="0">
        <references count="2">
          <reference field="4294967294" count="1" selected="0">
            <x v="0"/>
          </reference>
          <reference field="0" count="1" selected="0">
            <x v="5"/>
          </reference>
        </references>
      </pivotArea>
    </chartFormat>
    <chartFormat chart="2" format="10" series="1">
      <pivotArea type="data" outline="0" fieldPosition="0">
        <references count="2">
          <reference field="4294967294" count="1" selected="0">
            <x v="0"/>
          </reference>
          <reference field="0" count="1" selected="0">
            <x v="6"/>
          </reference>
        </references>
      </pivotArea>
    </chartFormat>
    <chartFormat chart="2" format="11" series="1">
      <pivotArea type="data" outline="0" fieldPosition="0">
        <references count="2">
          <reference field="4294967294" count="1" selected="0">
            <x v="0"/>
          </reference>
          <reference field="0" count="1" selected="0">
            <x v="8"/>
          </reference>
        </references>
      </pivotArea>
    </chartFormat>
    <chartFormat chart="2" format="12" series="1">
      <pivotArea type="data" outline="0" fieldPosition="0">
        <references count="2">
          <reference field="4294967294" count="1" selected="0">
            <x v="0"/>
          </reference>
          <reference field="0" count="1" selected="0">
            <x v="10"/>
          </reference>
        </references>
      </pivotArea>
    </chartFormat>
    <chartFormat chart="2" format="13" series="1">
      <pivotArea type="data" outline="0" fieldPosition="0">
        <references count="2">
          <reference field="4294967294" count="1" selected="0">
            <x v="0"/>
          </reference>
          <reference field="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F5C3EF-F6FA-3F4D-A534-7149F872F244}" name="Crime"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I16:L18" firstHeaderRow="0" firstDataRow="1" firstDataCol="1"/>
  <pivotFields count="12">
    <pivotField axis="axisRow" showAll="0">
      <items count="11">
        <item h="1" x="0"/>
        <item h="1" x="1"/>
        <item x="2"/>
        <item h="1" x="3"/>
        <item h="1" x="4"/>
        <item h="1" x="5"/>
        <item h="1" x="6"/>
        <item h="1" x="7"/>
        <item h="1" x="8"/>
        <item h="1" x="9"/>
        <item t="default"/>
      </items>
    </pivotField>
    <pivotField showAll="0">
      <items count="10">
        <item x="4"/>
        <item x="8"/>
        <item x="5"/>
        <item x="0"/>
        <item x="3"/>
        <item x="2"/>
        <item x="6"/>
        <item x="7"/>
        <item x="1"/>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0"/>
  </rowFields>
  <rowItems count="2">
    <i>
      <x v="2"/>
    </i>
    <i t="grand">
      <x/>
    </i>
  </rowItems>
  <colFields count="1">
    <field x="-2"/>
  </colFields>
  <colItems count="3">
    <i>
      <x/>
    </i>
    <i i="1">
      <x v="1"/>
    </i>
    <i i="2">
      <x v="2"/>
    </i>
  </colItems>
  <dataFields count="3">
    <dataField name="Total Crimes" fld="9" baseField="0" baseItem="0"/>
    <dataField name="Total Violent Crimes" fld="10" baseField="0" baseItem="0"/>
    <dataField name="Total Property Crimes" fld="11"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5643708-35B7-0144-8B20-5C8BBCCDE8E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C16" firstHeaderRow="0" firstDataRow="1" firstDataCol="1"/>
  <pivotFields count="12">
    <pivotField axis="axisRow" showAll="0">
      <items count="11">
        <item h="1" x="0"/>
        <item h="1" x="1"/>
        <item x="2"/>
        <item h="1" x="3"/>
        <item h="1" x="4"/>
        <item h="1" x="5"/>
        <item h="1" x="6"/>
        <item h="1" x="7"/>
        <item h="1" x="8"/>
        <item h="1" x="9"/>
        <item t="default"/>
      </items>
    </pivotField>
    <pivotField showAll="0"/>
    <pivotField dataField="1" showAll="0"/>
    <pivotField showAll="0"/>
    <pivotField showAll="0"/>
    <pivotField dataField="1" showAll="0"/>
    <pivotField showAll="0"/>
    <pivotField showAll="0"/>
    <pivotField showAll="0"/>
    <pivotField showAll="0"/>
    <pivotField showAll="0"/>
    <pivotField showAll="0"/>
  </pivotFields>
  <rowFields count="1">
    <field x="0"/>
  </rowFields>
  <rowItems count="2">
    <i>
      <x v="2"/>
    </i>
    <i t="grand">
      <x/>
    </i>
  </rowItems>
  <colFields count="1">
    <field x="-2"/>
  </colFields>
  <colItems count="2">
    <i>
      <x/>
    </i>
    <i i="1">
      <x v="1"/>
    </i>
  </colItems>
  <dataFields count="2">
    <dataField name="City Median Age" fld="2" baseField="0" baseItem="0"/>
    <dataField name="Sum of Total Population"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41B7A1-6172-934A-9BDD-D3AFD38E77FB}"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D21" firstHeaderRow="0" firstDataRow="1" firstDataCol="1"/>
  <pivotFields count="12">
    <pivotField axis="axisRow" showAll="0">
      <items count="11">
        <item h="1" x="0"/>
        <item h="1" x="1"/>
        <item x="2"/>
        <item h="1" x="3"/>
        <item h="1" x="4"/>
        <item h="1" x="5"/>
        <item h="1" x="6"/>
        <item h="1" x="7"/>
        <item h="1" x="8"/>
        <item h="1" x="9"/>
        <item t="default"/>
      </items>
    </pivotField>
    <pivotField showAll="0"/>
    <pivotField showAll="0"/>
    <pivotField showAll="0"/>
    <pivotField showAll="0"/>
    <pivotField showAll="0"/>
    <pivotField dataField="1" showAll="0"/>
    <pivotField dataField="1" showAll="0"/>
    <pivotField dataField="1" showAll="0"/>
    <pivotField showAll="0"/>
    <pivotField showAll="0"/>
    <pivotField showAll="0"/>
  </pivotFields>
  <rowFields count="1">
    <field x="0"/>
  </rowFields>
  <rowItems count="2">
    <i>
      <x v="2"/>
    </i>
    <i t="grand">
      <x/>
    </i>
  </rowItems>
  <colFields count="1">
    <field x="-2"/>
  </colFields>
  <colItems count="3">
    <i>
      <x/>
    </i>
    <i i="1">
      <x v="1"/>
    </i>
    <i i="2">
      <x v="2"/>
    </i>
  </colItems>
  <dataFields count="3">
    <dataField name="Diversity, Accessibility &amp; Quality" fld="8" baseField="0" baseItem="0"/>
    <dataField name="Affordability " fld="7" baseField="0" baseItem="0"/>
    <dataField name="Overall Best Foodie Cities "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880E799-54A1-3348-A901-24637019905B}" name="PivotTable3" cacheId="4"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14:G17" firstHeaderRow="1" firstDataRow="2" firstDataCol="1"/>
  <pivotFields count="12">
    <pivotField axis="axisCol" showAll="0">
      <items count="11">
        <item h="1" x="0"/>
        <item h="1" x="1"/>
        <item x="2"/>
        <item h="1" x="3"/>
        <item h="1" x="4"/>
        <item h="1" x="5"/>
        <item h="1" x="6"/>
        <item h="1" x="7"/>
        <item h="1" x="8"/>
        <item h="1" x="9"/>
        <item t="default"/>
      </items>
    </pivotField>
    <pivotField showAll="0"/>
    <pivotField showAll="0"/>
    <pivotField dataField="1" showAll="0"/>
    <pivotField dataField="1" showAll="0"/>
    <pivotField showAll="0"/>
    <pivotField showAll="0"/>
    <pivotField showAll="0"/>
    <pivotField showAll="0"/>
    <pivotField showAll="0"/>
    <pivotField showAll="0"/>
    <pivotField showAll="0"/>
  </pivotFields>
  <rowFields count="1">
    <field x="-2"/>
  </rowFields>
  <rowItems count="2">
    <i>
      <x/>
    </i>
    <i i="1">
      <x v="1"/>
    </i>
  </rowItems>
  <colFields count="1">
    <field x="0"/>
  </colFields>
  <colItems count="2">
    <i>
      <x v="2"/>
    </i>
    <i t="grand">
      <x/>
    </i>
  </colItems>
  <dataFields count="2">
    <dataField name="Proportion of Females" fld="4" baseField="0" baseItem="0" numFmtId="10"/>
    <dataField name="Proportion of Males" fld="3" baseField="0" baseItem="0" numFmtId="10"/>
  </dataFields>
  <chartFormats count="31">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1"/>
          </reference>
          <reference field="0" count="1" selected="0">
            <x v="0"/>
          </reference>
        </references>
      </pivotArea>
    </chartFormat>
    <chartFormat chart="6" format="7" series="1">
      <pivotArea type="data" outline="0" fieldPosition="0">
        <references count="2">
          <reference field="4294967294" count="1" selected="0">
            <x v="0"/>
          </reference>
          <reference field="0"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1"/>
          </reference>
          <reference field="0" count="1" selected="0">
            <x v="0"/>
          </reference>
        </references>
      </pivotArea>
    </chartFormat>
    <chartFormat chart="6" format="10" series="1">
      <pivotArea type="data" outline="0" fieldPosition="0">
        <references count="2">
          <reference field="4294967294" count="1" selected="0">
            <x v="0"/>
          </reference>
          <reference field="0" count="1" selected="0">
            <x v="2"/>
          </reference>
        </references>
      </pivotArea>
    </chartFormat>
    <chartFormat chart="6" format="11" series="1">
      <pivotArea type="data" outline="0" fieldPosition="0">
        <references count="2">
          <reference field="4294967294" count="1" selected="0">
            <x v="0"/>
          </reference>
          <reference field="0" count="1" selected="0">
            <x v="1"/>
          </reference>
        </references>
      </pivotArea>
    </chartFormat>
    <chartFormat chart="6" format="12" series="1">
      <pivotArea type="data" outline="0" fieldPosition="0">
        <references count="2">
          <reference field="4294967294" count="1" selected="0">
            <x v="0"/>
          </reference>
          <reference field="0" count="1" selected="0">
            <x v="4"/>
          </reference>
        </references>
      </pivotArea>
    </chartFormat>
    <chartFormat chart="6" format="13" series="1">
      <pivotArea type="data" outline="0" fieldPosition="0">
        <references count="2">
          <reference field="4294967294" count="1" selected="0">
            <x v="0"/>
          </reference>
          <reference field="0" count="1" selected="0">
            <x v="3"/>
          </reference>
        </references>
      </pivotArea>
    </chartFormat>
    <chartFormat chart="6" format="14" series="1">
      <pivotArea type="data" outline="0" fieldPosition="0">
        <references count="2">
          <reference field="4294967294" count="1" selected="0">
            <x v="0"/>
          </reference>
          <reference field="0" count="1" selected="0">
            <x v="5"/>
          </reference>
        </references>
      </pivotArea>
    </chartFormat>
    <chartFormat chart="6" format="15" series="1">
      <pivotArea type="data" outline="0" fieldPosition="0">
        <references count="2">
          <reference field="4294967294" count="1" selected="0">
            <x v="0"/>
          </reference>
          <reference field="0" count="1" selected="0">
            <x v="6"/>
          </reference>
        </references>
      </pivotArea>
    </chartFormat>
    <chartFormat chart="6" format="16">
      <pivotArea type="data" outline="0" fieldPosition="0">
        <references count="2">
          <reference field="4294967294" count="1" selected="0">
            <x v="0"/>
          </reference>
          <reference field="0" count="1" selected="0">
            <x v="4"/>
          </reference>
        </references>
      </pivotArea>
    </chartFormat>
    <chartFormat chart="6" format="17">
      <pivotArea type="data" outline="0" fieldPosition="0">
        <references count="2">
          <reference field="4294967294" count="1" selected="0">
            <x v="1"/>
          </reference>
          <reference field="0" count="1" selected="0">
            <x v="4"/>
          </reference>
        </references>
      </pivotArea>
    </chartFormat>
    <chartFormat chart="1" format="7" series="1">
      <pivotArea type="data" outline="0" fieldPosition="0">
        <references count="2">
          <reference field="4294967294" count="1" selected="0">
            <x v="0"/>
          </reference>
          <reference field="0" count="1" selected="0">
            <x v="4"/>
          </reference>
        </references>
      </pivotArea>
    </chartFormat>
    <chartFormat chart="1" format="8">
      <pivotArea type="data" outline="0" fieldPosition="0">
        <references count="2">
          <reference field="4294967294" count="1" selected="0">
            <x v="0"/>
          </reference>
          <reference field="0" count="1" selected="0">
            <x v="4"/>
          </reference>
        </references>
      </pivotArea>
    </chartFormat>
    <chartFormat chart="1" format="9">
      <pivotArea type="data" outline="0" fieldPosition="0">
        <references count="2">
          <reference field="4294967294" count="1" selected="0">
            <x v="1"/>
          </reference>
          <reference field="0" count="1" selected="0">
            <x v="4"/>
          </reference>
        </references>
      </pivotArea>
    </chartFormat>
    <chartFormat chart="6" format="18" series="1">
      <pivotArea type="data" outline="0" fieldPosition="0">
        <references count="2">
          <reference field="4294967294" count="1" selected="0">
            <x v="0"/>
          </reference>
          <reference field="0" count="1" selected="0">
            <x v="9"/>
          </reference>
        </references>
      </pivotArea>
    </chartFormat>
    <chartFormat chart="6" format="19" series="1">
      <pivotArea type="data" outline="0" fieldPosition="0">
        <references count="2">
          <reference field="4294967294" count="1" selected="0">
            <x v="0"/>
          </reference>
          <reference field="0" count="1" selected="0">
            <x v="7"/>
          </reference>
        </references>
      </pivotArea>
    </chartFormat>
    <chartFormat chart="1" format="10" series="1">
      <pivotArea type="data" outline="0" fieldPosition="0">
        <references count="2">
          <reference field="4294967294" count="1" selected="0">
            <x v="0"/>
          </reference>
          <reference field="0" count="1" selected="0">
            <x v="2"/>
          </reference>
        </references>
      </pivotArea>
    </chartFormat>
    <chartFormat chart="1" format="11">
      <pivotArea type="data" outline="0" fieldPosition="0">
        <references count="2">
          <reference field="4294967294" count="1" selected="0">
            <x v="0"/>
          </reference>
          <reference field="0" count="1" selected="0">
            <x v="2"/>
          </reference>
        </references>
      </pivotArea>
    </chartFormat>
    <chartFormat chart="1" format="12">
      <pivotArea type="data" outline="0" fieldPosition="0">
        <references count="2">
          <reference field="4294967294" count="1" selected="0">
            <x v="1"/>
          </reference>
          <reference field="0" count="1" selected="0">
            <x v="2"/>
          </reference>
        </references>
      </pivotArea>
    </chartFormat>
    <chartFormat chart="6" format="20">
      <pivotArea type="data" outline="0" fieldPosition="0">
        <references count="2">
          <reference field="4294967294" count="1" selected="0">
            <x v="0"/>
          </reference>
          <reference field="0" count="1" selected="0">
            <x v="2"/>
          </reference>
        </references>
      </pivotArea>
    </chartFormat>
    <chartFormat chart="6" format="21">
      <pivotArea type="data" outline="0" fieldPosition="0">
        <references count="2">
          <reference field="4294967294" count="1" selected="0">
            <x v="1"/>
          </reference>
          <reference field="0" count="1" selected="0">
            <x v="2"/>
          </reference>
        </references>
      </pivotArea>
    </chartFormat>
    <chartFormat chart="6" format="22" series="1">
      <pivotArea type="data" outline="0" fieldPosition="0">
        <references count="2">
          <reference field="4294967294" count="1" selected="0">
            <x v="0"/>
          </reference>
          <reference field="0" count="1" selected="0">
            <x v="8"/>
          </reference>
        </references>
      </pivotArea>
    </chartFormat>
    <chartFormat chart="6" format="23">
      <pivotArea type="data" outline="0" fieldPosition="0">
        <references count="2">
          <reference field="4294967294" count="1" selected="0">
            <x v="0"/>
          </reference>
          <reference field="0" count="1" selected="0">
            <x v="3"/>
          </reference>
        </references>
      </pivotArea>
    </chartFormat>
    <chartFormat chart="6" format="24">
      <pivotArea type="data" outline="0" fieldPosition="0">
        <references count="2">
          <reference field="4294967294" count="1" selected="0">
            <x v="1"/>
          </reference>
          <reference field="0" count="1" selected="0">
            <x v="3"/>
          </reference>
        </references>
      </pivotArea>
    </chartFormat>
    <chartFormat chart="1" format="13" series="1">
      <pivotArea type="data" outline="0" fieldPosition="0">
        <references count="2">
          <reference field="4294967294" count="1" selected="0">
            <x v="0"/>
          </reference>
          <reference field="0" count="1" selected="0">
            <x v="3"/>
          </reference>
        </references>
      </pivotArea>
    </chartFormat>
    <chartFormat chart="1" format="14">
      <pivotArea type="data" outline="0" fieldPosition="0">
        <references count="2">
          <reference field="4294967294" count="1" selected="0">
            <x v="0"/>
          </reference>
          <reference field="0" count="1" selected="0">
            <x v="3"/>
          </reference>
        </references>
      </pivotArea>
    </chartFormat>
    <chartFormat chart="1" format="15">
      <pivotArea type="data" outline="0" fieldPosition="0">
        <references count="2">
          <reference field="4294967294" count="1" selected="0">
            <x v="1"/>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6D9C44E-0ED3-4A4A-858C-9F19D55D9C6E}" sourceName="City">
  <pivotTables>
    <pivotTable tabId="5" name="Age Demographic"/>
    <pivotTable tabId="5" name="Gender"/>
  </pivotTables>
  <data>
    <tabular pivotCacheId="726126588">
      <items count="12">
        <i x="0"/>
        <i x="1"/>
        <i x="2"/>
        <i x="3"/>
        <i x="4"/>
        <i x="5"/>
        <i x="6" s="1"/>
        <i x="7"/>
        <i x="8"/>
        <i x="9"/>
        <i x="11" nd="1"/>
        <i x="1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807DD1BD-9319-0C49-AE28-36C5C443242D}" sourceName="City">
  <pivotTables>
    <pivotTable tabId="21" name="PivotTable2"/>
    <pivotTable tabId="21" name="PivotTable3"/>
    <pivotTable tabId="21" name="PivotTable4"/>
    <pivotTable tabId="21" name="Crime"/>
  </pivotTables>
  <data>
    <tabular pivotCacheId="199417552">
      <items count="10">
        <i x="0"/>
        <i x="1"/>
        <i x="2" s="1"/>
        <i x="3"/>
        <i x="4"/>
        <i x="5"/>
        <i x="6"/>
        <i x="7"/>
        <i x="8"/>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4" xr10:uid="{3B9C296B-0F4E-8F4D-B505-E3830ABA868A}" cache="Slicer_City1" caption="City"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5662E6C4-1D91-5545-9910-7E77D4FAD81D}" cache="Slicer_City" caption="City"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2" xr10:uid="{B54BBB9C-6B36-C74B-80A7-5E282F8FC537}" cache="Slicer_City1" caption="City"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53DC4BA-6409-4A22-939F-E606A4EF86D5}" name="Table3" displayName="Table3" ref="A1:I597" totalsRowShown="0">
  <autoFilter ref="A1:I597" xr:uid="{053DC4BA-6409-4A22-939F-E606A4EF86D5}">
    <filterColumn colId="0">
      <filters>
        <filter val="Atlanta"/>
        <filter val="Austin"/>
        <filter val="Boston"/>
        <filter val="Chicago"/>
        <filter val="Los Angeles"/>
        <filter val="Miami"/>
        <filter val="New York"/>
        <filter val="Pittsburg"/>
        <filter val="San Diego"/>
        <filter val="Washington"/>
      </filters>
    </filterColumn>
  </autoFilter>
  <tableColumns count="9">
    <tableColumn id="1" xr3:uid="{AECCF05E-53FE-4685-9494-EAA60F54213A}" name="City"/>
    <tableColumn id="2" xr3:uid="{EEC39503-9544-4658-A9D3-94C8D0BF6011}" name="State"/>
    <tableColumn id="3" xr3:uid="{03522374-4512-49B9-9B28-96C999D722F5}" name="Median Age"/>
    <tableColumn id="4" xr3:uid="{5CDB9DF9-D585-461C-93C8-458A84A54793}" name="Male Population"/>
    <tableColumn id="5" xr3:uid="{7E1AFD6D-8629-4ECD-B467-31C078168C65}" name="Female Population"/>
    <tableColumn id="6" xr3:uid="{E85734EE-A875-4737-9732-01FB4D5615E4}" name="Total Population"/>
    <tableColumn id="7" xr3:uid="{08D76B68-7813-4F4A-9694-1BC835B5EA49}" name="Number of Veterans"/>
    <tableColumn id="8" xr3:uid="{CEDA0406-52AF-43D5-91B0-CD5A6C12F58F}" name="Foreign-born"/>
    <tableColumn id="9" xr3:uid="{B620A06E-8C28-4B6E-8495-FA186EF05E7C}" name="Average Household Siz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EA0958-AF99-4A11-B9C3-EB5A2CD36ED3}" name="Table2" displayName="Table2" ref="A1:K37" totalsRowShown="0">
  <autoFilter ref="A1:K37" xr:uid="{15EA0958-AF99-4A11-B9C3-EB5A2CD36ED3}">
    <filterColumn colId="0">
      <filters>
        <filter val="Atlanta"/>
        <filter val="Austin"/>
        <filter val="Boston"/>
        <filter val="Chicago"/>
        <filter val="Los Angeles"/>
        <filter val="Miami"/>
        <filter val="New York"/>
        <filter val="Pittsburgh"/>
        <filter val="San Diego"/>
        <filter val="Washington"/>
      </filters>
    </filterColumn>
  </autoFilter>
  <sortState xmlns:xlrd2="http://schemas.microsoft.com/office/spreadsheetml/2017/richdata2" ref="A2:K32">
    <sortCondition descending="1" ref="K1:K37"/>
  </sortState>
  <tableColumns count="11">
    <tableColumn id="1" xr3:uid="{1D1D46E7-1D00-46F7-8821-D67A5E5F653B}" name="City"/>
    <tableColumn id="2" xr3:uid="{0DF0CE32-F96F-472A-81E0-AAF6B88114C6}" name="Sates"/>
    <tableColumn id="3" xr3:uid="{4E7C6023-2B73-4ADC-8A85-A82B352C9D96}" name="Purchasing power"/>
    <tableColumn id="4" xr3:uid="{D85EDA46-3260-4A09-A424-F4913829F45E}" name="Safety"/>
    <tableColumn id="5" xr3:uid="{AF207CD5-344B-4E49-9558-DEB66BB72DE5}" name="Healthcare"/>
    <tableColumn id="6" xr3:uid="{16F41B0A-17B7-43B4-8B8F-EED76794409E}" name="Cost of Living"/>
    <tableColumn id="7" xr3:uid="{BC81B70E-EBF3-4AC3-9D17-DA26E895D39B}" name="Property Price to income ratio"/>
    <tableColumn id="8" xr3:uid="{EE6212E3-518E-4DF9-8F94-F8411441E26B}" name="Traffic commute time"/>
    <tableColumn id="9" xr3:uid="{647DE00B-0E11-4CBE-9EC9-65A684AD4BCB}" name="Pollution"/>
    <tableColumn id="10" xr3:uid="{2F3EBE24-DA35-4EF9-92D9-5B454B02FAD1}" name="Climate"/>
    <tableColumn id="11" xr3:uid="{7E4C3675-BE3F-469E-AAF6-C0E5DDB26B71}" name="Quality of Life index"/>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2000E4-0760-2941-B5A9-44E77B36E38A}" name="Table5" displayName="Table5" ref="A1:E183" totalsRowShown="0">
  <autoFilter ref="A1:E183" xr:uid="{8E2000E4-0760-2941-B5A9-44E77B36E38A}">
    <filterColumn colId="1">
      <filters>
        <filter val="Atlanta, GA"/>
        <filter val="Austin, TX"/>
        <filter val="Boston, MA"/>
        <filter val="Chicago, IL"/>
        <filter val="Los Angeles, CA"/>
        <filter val="Miami, FL"/>
        <filter val="New York, NY"/>
        <filter val="Pittsburgh, PA"/>
        <filter val="San Diego, CA"/>
        <filter val="Washington, DC"/>
      </filters>
    </filterColumn>
  </autoFilter>
  <sortState xmlns:xlrd2="http://schemas.microsoft.com/office/spreadsheetml/2017/richdata2" ref="A2:E46">
    <sortCondition ref="B1:B183"/>
  </sortState>
  <tableColumns count="5">
    <tableColumn id="1" xr3:uid="{0CDF10EF-457B-B74F-B615-423E7EF63177}" name="Overall Rank"/>
    <tableColumn id="2" xr3:uid="{F7A13E95-B243-744F-9684-B21C647A359E}" name="City"/>
    <tableColumn id="3" xr3:uid="{9DFC7ABB-5083-884C-9775-DEC3EA93CAE2}" name="Total Score "/>
    <tableColumn id="4" xr3:uid="{B2C24DF8-A7A5-CC4C-A018-B0395DA34701}" name="Affordability Rank "/>
    <tableColumn id="5" xr3:uid="{9DA4E6C3-B628-7A4E-8D14-9525AD877FA6}" name="Diversity, Accessibility &amp; Quality Rank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5CD0F5-DC49-441B-B6BF-E402D562F8F4}" name="Table4" displayName="Table4" ref="P1:T11" totalsRowShown="0">
  <autoFilter ref="P1:T11" xr:uid="{2A5CD0F5-DC49-441B-B6BF-E402D562F8F4}">
    <filterColumn colId="1">
      <filters>
        <filter val="Boston"/>
      </filters>
    </filterColumn>
  </autoFilter>
  <tableColumns count="5">
    <tableColumn id="1" xr3:uid="{66E87F1A-FF19-4D3E-9FC1-4EF04F5E276E}" name="States"/>
    <tableColumn id="2" xr3:uid="{BFB3A6C2-39C5-44A8-B138-3E63BABF930E}" name="Cities"/>
    <tableColumn id="4" xr3:uid="{8FB6239F-7B43-42B4-8F80-3B871CB8CA02}" name="Total Crime"/>
    <tableColumn id="5" xr3:uid="{C502DD38-A911-4FB8-AF88-51BBE6A2475E}" name="Total Violent Crime"/>
    <tableColumn id="6" xr3:uid="{C097360D-3FD6-429B-9339-4D0C4AC64182}" name="Total Property Cri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31234C-75A4-704D-BE62-A6F5CA6DCB3A}" name="Table42" displayName="Table42" ref="T1:X11" totalsRowShown="0">
  <autoFilter ref="T1:X11" xr:uid="{9D31234C-75A4-704D-BE62-A6F5CA6DCB3A}"/>
  <tableColumns count="5">
    <tableColumn id="1" xr3:uid="{B7114E4C-6DE8-EB42-A9E8-E6B2984C02FA}" name="States"/>
    <tableColumn id="2" xr3:uid="{58008EFE-1A6F-BF43-80E2-7DD7B3CFCBB4}" name="Cities"/>
    <tableColumn id="4" xr3:uid="{C6291E83-A3C2-0A4D-9679-9258487F80F5}" name="Total Crime"/>
    <tableColumn id="5" xr3:uid="{6590B2C3-9016-D549-B736-7F4D5CD21882}" name="Total Violent Crime"/>
    <tableColumn id="6" xr3:uid="{8E432BE5-7F10-B940-8474-9255E504E7D6}" name="Total Property Cri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hyperlink" Target="https://public.opendatasoft.com/explore/dataset/us-cities-demographics/export/?flg=en-us&amp;sort=city" TargetMode="External"/><Relationship Id="rId3" Type="http://schemas.openxmlformats.org/officeDocument/2006/relationships/hyperlink" Target="https://www.numbeo.com/quality-of-life/region_rankings_current.jsp?region=021" TargetMode="External"/><Relationship Id="rId7" Type="http://schemas.openxmlformats.org/officeDocument/2006/relationships/hyperlink" Target="https://wallethub.com/edu/best-foodie-cities/7522" TargetMode="External"/><Relationship Id="rId12" Type="http://schemas.openxmlformats.org/officeDocument/2006/relationships/ctrlProp" Target="../ctrlProps/ctrlProp8.xml"/><Relationship Id="rId2" Type="http://schemas.openxmlformats.org/officeDocument/2006/relationships/hyperlink" Target="https://www.numbeo.com/quality-of-life/indices_explained.jsp" TargetMode="External"/><Relationship Id="rId1" Type="http://schemas.openxmlformats.org/officeDocument/2006/relationships/hyperlink" Target="https://www.indeed.com/career/data-analyst/salaries/Boston--MA?from=top_sb" TargetMode="External"/><Relationship Id="rId6" Type="http://schemas.openxmlformats.org/officeDocument/2006/relationships/hyperlink" Target="https://krghospitality.com/2023/11/17/wallethub-ranks-best-foodie-cities-in-us/" TargetMode="External"/><Relationship Id="rId11" Type="http://schemas.openxmlformats.org/officeDocument/2006/relationships/ctrlProp" Target="../ctrlProps/ctrlProp7.xml"/><Relationship Id="rId5" Type="http://schemas.openxmlformats.org/officeDocument/2006/relationships/hyperlink" Target="https://www.numbeo.com/cost-of-living/in/Austin" TargetMode="External"/><Relationship Id="rId10" Type="http://schemas.openxmlformats.org/officeDocument/2006/relationships/vmlDrawing" Target="../drawings/vmlDrawing3.vml"/><Relationship Id="rId4" Type="http://schemas.openxmlformats.org/officeDocument/2006/relationships/hyperlink" Target="https://www.kaggle.com/datasets/kabhishm/united-states-crime-rates-by-city-population" TargetMode="External"/><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7" Type="http://schemas.microsoft.com/office/2007/relationships/slicer" Target="../slicers/slicer3.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5.xml"/><Relationship Id="rId5" Type="http://schemas.openxmlformats.org/officeDocument/2006/relationships/drawing" Target="../drawings/drawing5.xml"/><Relationship Id="rId4"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CD17-0D6F-3049-9F82-038DCB635A62}">
  <sheetPr codeName="Sheet7"/>
  <dimension ref="A1:L35"/>
  <sheetViews>
    <sheetView tabSelected="1" workbookViewId="0">
      <selection activeCell="O12" sqref="O12"/>
    </sheetView>
  </sheetViews>
  <sheetFormatPr baseColWidth="10" defaultRowHeight="16"/>
  <sheetData>
    <row r="1" spans="1:12">
      <c r="A1" s="4"/>
      <c r="B1" s="4"/>
      <c r="C1" s="4"/>
      <c r="D1" s="4"/>
      <c r="E1" s="4"/>
      <c r="F1" s="4"/>
      <c r="G1" s="4"/>
      <c r="H1" s="4"/>
      <c r="I1" s="4"/>
      <c r="J1" s="4"/>
      <c r="K1" s="4"/>
      <c r="L1" s="4"/>
    </row>
    <row r="2" spans="1:12" ht="17" thickBot="1">
      <c r="A2" s="4"/>
      <c r="B2" s="4"/>
      <c r="C2" s="4"/>
      <c r="D2" s="4"/>
      <c r="E2" s="4"/>
      <c r="F2" s="4"/>
      <c r="G2" s="4"/>
      <c r="H2" s="4"/>
      <c r="I2" s="4"/>
      <c r="J2" s="4"/>
      <c r="K2" s="4"/>
      <c r="L2" s="4"/>
    </row>
    <row r="3" spans="1:12">
      <c r="A3" s="4"/>
      <c r="B3" s="44" t="s">
        <v>959</v>
      </c>
      <c r="C3" s="45"/>
      <c r="D3" s="45"/>
      <c r="E3" s="45"/>
      <c r="F3" s="45"/>
      <c r="G3" s="45"/>
      <c r="H3" s="45"/>
      <c r="I3" s="45"/>
      <c r="J3" s="45"/>
      <c r="K3" s="46"/>
      <c r="L3" s="4"/>
    </row>
    <row r="4" spans="1:12">
      <c r="A4" s="4"/>
      <c r="B4" s="47"/>
      <c r="C4" s="48"/>
      <c r="D4" s="48"/>
      <c r="E4" s="48"/>
      <c r="F4" s="48"/>
      <c r="G4" s="48"/>
      <c r="H4" s="48"/>
      <c r="I4" s="48"/>
      <c r="J4" s="48"/>
      <c r="K4" s="49"/>
      <c r="L4" s="4"/>
    </row>
    <row r="5" spans="1:12">
      <c r="A5" s="4"/>
      <c r="B5" s="47"/>
      <c r="C5" s="48"/>
      <c r="D5" s="48"/>
      <c r="E5" s="48"/>
      <c r="F5" s="48"/>
      <c r="G5" s="48"/>
      <c r="H5" s="48"/>
      <c r="I5" s="48"/>
      <c r="J5" s="48"/>
      <c r="K5" s="49"/>
      <c r="L5" s="4"/>
    </row>
    <row r="6" spans="1:12">
      <c r="A6" s="4"/>
      <c r="B6" s="47"/>
      <c r="C6" s="48"/>
      <c r="D6" s="48"/>
      <c r="E6" s="48"/>
      <c r="F6" s="48"/>
      <c r="G6" s="48"/>
      <c r="H6" s="48"/>
      <c r="I6" s="48"/>
      <c r="J6" s="48"/>
      <c r="K6" s="49"/>
      <c r="L6" s="4"/>
    </row>
    <row r="7" spans="1:12" ht="17" thickBot="1">
      <c r="A7" s="4"/>
      <c r="B7" s="50"/>
      <c r="C7" s="51"/>
      <c r="D7" s="51"/>
      <c r="E7" s="51"/>
      <c r="F7" s="51"/>
      <c r="G7" s="51"/>
      <c r="H7" s="51"/>
      <c r="I7" s="51"/>
      <c r="J7" s="51"/>
      <c r="K7" s="52"/>
      <c r="L7" s="4"/>
    </row>
    <row r="8" spans="1:12">
      <c r="A8" s="4"/>
      <c r="B8" s="4"/>
      <c r="C8" s="4"/>
      <c r="D8" s="4"/>
      <c r="E8" s="4"/>
      <c r="F8" s="4"/>
      <c r="G8" s="4"/>
      <c r="H8" s="4"/>
      <c r="I8" s="4"/>
      <c r="J8" s="4"/>
      <c r="K8" s="4"/>
      <c r="L8" s="4"/>
    </row>
    <row r="9" spans="1:12" ht="17" thickBot="1">
      <c r="A9" s="4"/>
      <c r="B9" s="4"/>
      <c r="C9" s="4"/>
      <c r="D9" s="4"/>
      <c r="E9" s="4"/>
      <c r="F9" s="4"/>
      <c r="G9" s="4"/>
      <c r="H9" s="4"/>
      <c r="I9" s="4"/>
      <c r="J9" s="4"/>
      <c r="K9" s="4"/>
      <c r="L9" s="4"/>
    </row>
    <row r="10" spans="1:12" ht="16" customHeight="1">
      <c r="A10" s="4"/>
      <c r="B10" s="4"/>
      <c r="C10" s="53" t="s">
        <v>960</v>
      </c>
      <c r="D10" s="54"/>
      <c r="E10" s="54"/>
      <c r="F10" s="54"/>
      <c r="G10" s="54"/>
      <c r="H10" s="54"/>
      <c r="I10" s="54"/>
      <c r="J10" s="55"/>
      <c r="K10" s="4"/>
      <c r="L10" s="4"/>
    </row>
    <row r="11" spans="1:12">
      <c r="A11" s="4"/>
      <c r="B11" s="4"/>
      <c r="C11" s="56"/>
      <c r="D11" s="57"/>
      <c r="E11" s="57"/>
      <c r="F11" s="57"/>
      <c r="G11" s="57"/>
      <c r="H11" s="57"/>
      <c r="I11" s="57"/>
      <c r="J11" s="58"/>
      <c r="K11" s="4"/>
      <c r="L11" s="4"/>
    </row>
    <row r="12" spans="1:12">
      <c r="A12" s="4"/>
      <c r="B12" s="4"/>
      <c r="C12" s="56"/>
      <c r="D12" s="57"/>
      <c r="E12" s="57"/>
      <c r="F12" s="57"/>
      <c r="G12" s="57"/>
      <c r="H12" s="57"/>
      <c r="I12" s="57"/>
      <c r="J12" s="58"/>
      <c r="K12" s="4"/>
      <c r="L12" s="4"/>
    </row>
    <row r="13" spans="1:12">
      <c r="A13" s="4"/>
      <c r="B13" s="4"/>
      <c r="C13" s="56"/>
      <c r="D13" s="57"/>
      <c r="E13" s="57"/>
      <c r="F13" s="57"/>
      <c r="G13" s="57"/>
      <c r="H13" s="57"/>
      <c r="I13" s="57"/>
      <c r="J13" s="58"/>
      <c r="K13" s="4"/>
      <c r="L13" s="4"/>
    </row>
    <row r="14" spans="1:12">
      <c r="A14" s="4"/>
      <c r="B14" s="4"/>
      <c r="C14" s="56"/>
      <c r="D14" s="57"/>
      <c r="E14" s="57"/>
      <c r="F14" s="57"/>
      <c r="G14" s="57"/>
      <c r="H14" s="57"/>
      <c r="I14" s="57"/>
      <c r="J14" s="58"/>
      <c r="K14" s="4"/>
      <c r="L14" s="4"/>
    </row>
    <row r="15" spans="1:12" ht="17" thickBot="1">
      <c r="A15" s="4"/>
      <c r="B15" s="4"/>
      <c r="C15" s="59"/>
      <c r="D15" s="60"/>
      <c r="E15" s="60"/>
      <c r="F15" s="60"/>
      <c r="G15" s="60"/>
      <c r="H15" s="60"/>
      <c r="I15" s="60"/>
      <c r="J15" s="61"/>
      <c r="K15" s="4"/>
      <c r="L15" s="4"/>
    </row>
    <row r="16" spans="1:12">
      <c r="A16" s="4"/>
      <c r="B16" s="4"/>
      <c r="C16" s="4"/>
      <c r="D16" s="4"/>
      <c r="E16" s="4"/>
      <c r="F16" s="4"/>
      <c r="G16" s="4"/>
      <c r="H16" s="4"/>
      <c r="I16" s="4"/>
      <c r="J16" s="4"/>
      <c r="K16" s="4"/>
      <c r="L16" s="4"/>
    </row>
    <row r="17" spans="1:12">
      <c r="A17" s="4"/>
      <c r="B17" s="4"/>
      <c r="C17" s="4"/>
      <c r="D17" s="4"/>
      <c r="E17" s="4"/>
      <c r="F17" s="4"/>
      <c r="G17" s="4"/>
      <c r="H17" s="4"/>
      <c r="I17" s="4"/>
      <c r="J17" s="4"/>
      <c r="K17" s="4"/>
      <c r="L17" s="4"/>
    </row>
    <row r="18" spans="1:12" ht="17" thickBot="1">
      <c r="A18" s="4"/>
      <c r="B18" s="4"/>
      <c r="C18" s="4"/>
      <c r="D18" s="4"/>
      <c r="E18" s="4"/>
      <c r="F18" s="4"/>
      <c r="G18" s="4"/>
      <c r="H18" s="4"/>
      <c r="I18" s="4"/>
      <c r="J18" s="4"/>
      <c r="K18" s="4"/>
      <c r="L18" s="4"/>
    </row>
    <row r="19" spans="1:12">
      <c r="A19" s="4"/>
      <c r="B19" s="4"/>
      <c r="C19" s="5"/>
      <c r="D19" s="21"/>
      <c r="E19" s="6"/>
      <c r="F19" s="4"/>
      <c r="G19" s="4"/>
      <c r="H19" s="5"/>
      <c r="I19" s="21"/>
      <c r="J19" s="6"/>
      <c r="K19" s="4"/>
      <c r="L19" s="4"/>
    </row>
    <row r="20" spans="1:12">
      <c r="A20" s="4"/>
      <c r="B20" s="4"/>
      <c r="C20" s="7"/>
      <c r="D20" s="22"/>
      <c r="E20" s="8"/>
      <c r="F20" s="4"/>
      <c r="G20" s="4"/>
      <c r="H20" s="7"/>
      <c r="I20" s="22"/>
      <c r="J20" s="8"/>
      <c r="K20" s="4"/>
      <c r="L20" s="4"/>
    </row>
    <row r="21" spans="1:12">
      <c r="A21" s="4"/>
      <c r="B21" s="4"/>
      <c r="C21" s="7"/>
      <c r="D21" s="22"/>
      <c r="E21" s="8"/>
      <c r="F21" s="4"/>
      <c r="G21" s="4"/>
      <c r="H21" s="7"/>
      <c r="I21" s="22"/>
      <c r="J21" s="8"/>
      <c r="K21" s="4"/>
      <c r="L21" s="4"/>
    </row>
    <row r="22" spans="1:12">
      <c r="A22" s="4"/>
      <c r="B22" s="4"/>
      <c r="C22" s="7"/>
      <c r="D22" s="22"/>
      <c r="E22" s="8"/>
      <c r="F22" s="4"/>
      <c r="G22" s="4"/>
      <c r="H22" s="7"/>
      <c r="I22" s="22"/>
      <c r="J22" s="8"/>
      <c r="K22" s="4"/>
      <c r="L22" s="4"/>
    </row>
    <row r="23" spans="1:12">
      <c r="A23" s="4"/>
      <c r="B23" s="4"/>
      <c r="C23" s="7"/>
      <c r="D23" s="22"/>
      <c r="E23" s="8"/>
      <c r="F23" s="4"/>
      <c r="G23" s="4"/>
      <c r="H23" s="7"/>
      <c r="I23" s="22"/>
      <c r="J23" s="8"/>
      <c r="K23" s="4"/>
      <c r="L23" s="4"/>
    </row>
    <row r="24" spans="1:12">
      <c r="A24" s="4"/>
      <c r="B24" s="4"/>
      <c r="C24" s="7"/>
      <c r="D24" s="22"/>
      <c r="E24" s="8"/>
      <c r="F24" s="4"/>
      <c r="G24" s="4"/>
      <c r="H24" s="7"/>
      <c r="I24" s="22"/>
      <c r="J24" s="8"/>
      <c r="K24" s="4"/>
      <c r="L24" s="4"/>
    </row>
    <row r="25" spans="1:12">
      <c r="A25" s="4"/>
      <c r="B25" s="4"/>
      <c r="C25" s="177" t="s">
        <v>962</v>
      </c>
      <c r="D25" s="172"/>
      <c r="E25" s="173"/>
      <c r="F25" s="4"/>
      <c r="G25" s="4"/>
      <c r="H25" s="177" t="s">
        <v>963</v>
      </c>
      <c r="I25" s="172"/>
      <c r="J25" s="173"/>
      <c r="K25" s="4"/>
      <c r="L25" s="4"/>
    </row>
    <row r="26" spans="1:12">
      <c r="A26" s="4"/>
      <c r="B26" s="4"/>
      <c r="C26" s="171"/>
      <c r="D26" s="172"/>
      <c r="E26" s="173"/>
      <c r="F26" s="4"/>
      <c r="G26" s="4"/>
      <c r="H26" s="171"/>
      <c r="I26" s="172"/>
      <c r="J26" s="173"/>
      <c r="K26" s="4"/>
      <c r="L26" s="4"/>
    </row>
    <row r="27" spans="1:12" ht="17" thickBot="1">
      <c r="A27" s="4"/>
      <c r="B27" s="4"/>
      <c r="C27" s="174"/>
      <c r="D27" s="175"/>
      <c r="E27" s="176"/>
      <c r="F27" s="4"/>
      <c r="G27" s="4"/>
      <c r="H27" s="174"/>
      <c r="I27" s="175"/>
      <c r="J27" s="176"/>
      <c r="K27" s="4"/>
      <c r="L27" s="4"/>
    </row>
    <row r="28" spans="1:12">
      <c r="A28" s="4"/>
      <c r="B28" s="4"/>
      <c r="C28" s="4"/>
      <c r="D28" s="4"/>
      <c r="E28" s="4"/>
      <c r="F28" s="4"/>
      <c r="G28" s="4"/>
      <c r="H28" s="4"/>
      <c r="I28" s="4"/>
      <c r="J28" s="4"/>
      <c r="K28" s="4"/>
      <c r="L28" s="4"/>
    </row>
    <row r="29" spans="1:12">
      <c r="A29" s="4"/>
      <c r="B29" s="4"/>
      <c r="C29" s="4"/>
      <c r="D29" s="4"/>
      <c r="E29" s="4"/>
      <c r="F29" s="4"/>
      <c r="G29" s="4"/>
      <c r="H29" s="4"/>
      <c r="I29" s="4"/>
      <c r="J29" s="4"/>
      <c r="K29" s="4"/>
      <c r="L29" s="4"/>
    </row>
    <row r="30" spans="1:12">
      <c r="A30" s="4"/>
      <c r="B30" s="4"/>
      <c r="C30" s="4"/>
      <c r="D30" s="4"/>
      <c r="E30" s="4"/>
      <c r="F30" s="4"/>
      <c r="G30" s="4"/>
      <c r="H30" s="4"/>
      <c r="I30" s="4"/>
      <c r="J30" s="4"/>
      <c r="K30" s="4"/>
      <c r="L30" s="4"/>
    </row>
    <row r="31" spans="1:12" ht="17" thickBot="1">
      <c r="A31" s="4"/>
      <c r="B31" s="4"/>
      <c r="C31" s="4"/>
      <c r="D31" s="4"/>
      <c r="E31" s="4"/>
      <c r="F31" s="4"/>
      <c r="G31" s="4"/>
      <c r="H31" s="4"/>
      <c r="I31" s="4"/>
      <c r="J31" s="4"/>
      <c r="K31" s="4"/>
      <c r="L31" s="4"/>
    </row>
    <row r="32" spans="1:12" ht="17" thickBot="1">
      <c r="A32" s="4"/>
      <c r="B32" s="4"/>
      <c r="C32" s="43"/>
      <c r="D32" s="62" t="s">
        <v>961</v>
      </c>
      <c r="E32" s="63"/>
      <c r="F32" s="63"/>
      <c r="G32" s="63"/>
      <c r="H32" s="63"/>
      <c r="I32" s="64"/>
      <c r="J32" s="43"/>
      <c r="K32" s="4"/>
      <c r="L32" s="4"/>
    </row>
    <row r="33" spans="1:12">
      <c r="A33" s="4"/>
      <c r="B33" s="4"/>
      <c r="C33" s="4"/>
      <c r="D33" s="4"/>
      <c r="E33" s="4"/>
      <c r="F33" s="4"/>
      <c r="G33" s="4"/>
      <c r="H33" s="4"/>
      <c r="I33" s="4"/>
      <c r="J33" s="4"/>
      <c r="K33" s="4"/>
      <c r="L33" s="4"/>
    </row>
    <row r="34" spans="1:12">
      <c r="A34" s="4"/>
      <c r="B34" s="4"/>
      <c r="C34" s="4"/>
      <c r="D34" s="4"/>
      <c r="E34" s="4"/>
      <c r="F34" s="4"/>
      <c r="G34" s="4"/>
      <c r="H34" s="4"/>
      <c r="I34" s="4"/>
      <c r="J34" s="4"/>
      <c r="K34" s="4"/>
      <c r="L34" s="4"/>
    </row>
    <row r="35" spans="1:12">
      <c r="A35" s="4"/>
      <c r="B35" s="4"/>
      <c r="C35" s="4"/>
      <c r="D35" s="4"/>
      <c r="E35" s="4"/>
      <c r="F35" s="4"/>
      <c r="G35" s="4"/>
      <c r="H35" s="4"/>
      <c r="I35" s="4"/>
      <c r="J35" s="4"/>
      <c r="K35" s="4"/>
      <c r="L35" s="4"/>
    </row>
  </sheetData>
  <mergeCells count="5">
    <mergeCell ref="B3:K7"/>
    <mergeCell ref="C10:J15"/>
    <mergeCell ref="D32:I32"/>
    <mergeCell ref="C25:E27"/>
    <mergeCell ref="H25:J2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ToDashboard">
                <anchor moveWithCells="1" sizeWithCells="1">
                  <from>
                    <xdr:col>2</xdr:col>
                    <xdr:colOff>228600</xdr:colOff>
                    <xdr:row>18</xdr:row>
                    <xdr:rowOff>139700</xdr:rowOff>
                  </from>
                  <to>
                    <xdr:col>4</xdr:col>
                    <xdr:colOff>609600</xdr:colOff>
                    <xdr:row>24</xdr:row>
                    <xdr:rowOff>12700</xdr:rowOff>
                  </to>
                </anchor>
              </controlPr>
            </control>
          </mc:Choice>
        </mc:AlternateContent>
        <mc:AlternateContent xmlns:mc="http://schemas.openxmlformats.org/markup-compatibility/2006">
          <mc:Choice Requires="x14">
            <control shapeId="10242" r:id="rId4" name="Button 2">
              <controlPr defaultSize="0" print="0" autoFill="0" autoPict="0" macro="[0]!ToInformation">
                <anchor moveWithCells="1" sizeWithCells="1">
                  <from>
                    <xdr:col>7</xdr:col>
                    <xdr:colOff>190500</xdr:colOff>
                    <xdr:row>18</xdr:row>
                    <xdr:rowOff>165100</xdr:rowOff>
                  </from>
                  <to>
                    <xdr:col>9</xdr:col>
                    <xdr:colOff>647700</xdr:colOff>
                    <xdr:row>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4948-92C9-534C-A17B-63D7CAE77F15}">
  <sheetPr codeName="Sheet1"/>
  <dimension ref="A1:V113"/>
  <sheetViews>
    <sheetView zoomScale="80" zoomScaleNormal="80" workbookViewId="0">
      <selection activeCell="N6" sqref="N6"/>
    </sheetView>
  </sheetViews>
  <sheetFormatPr baseColWidth="10" defaultColWidth="11" defaultRowHeight="16"/>
  <cols>
    <col min="1" max="1" width="4.6640625" customWidth="1"/>
    <col min="5" max="5" width="4.6640625" customWidth="1"/>
    <col min="9" max="9" width="4.6640625" customWidth="1"/>
    <col min="18" max="18" width="4.6640625" customWidth="1"/>
    <col min="21" max="21" width="11" customWidth="1"/>
    <col min="22" max="22" width="4.6640625" customWidth="1"/>
  </cols>
  <sheetData>
    <row r="1" spans="1:22" ht="11" customHeight="1" thickBot="1">
      <c r="A1" s="4"/>
      <c r="B1" s="4"/>
      <c r="C1" s="4"/>
      <c r="D1" s="4"/>
      <c r="E1" s="4"/>
      <c r="F1" s="4"/>
      <c r="G1" s="4"/>
      <c r="H1" s="4"/>
      <c r="I1" s="4"/>
      <c r="J1" s="4"/>
      <c r="K1" s="4"/>
      <c r="L1" s="4"/>
      <c r="M1" s="4"/>
      <c r="N1" s="4"/>
      <c r="O1" s="4"/>
      <c r="P1" s="4"/>
      <c r="Q1" s="4"/>
      <c r="R1" s="4"/>
      <c r="S1" s="4"/>
      <c r="T1" s="4"/>
      <c r="U1" s="4"/>
      <c r="V1" s="4"/>
    </row>
    <row r="2" spans="1:22" ht="15.75" customHeight="1">
      <c r="A2" s="4"/>
      <c r="B2" s="98" t="s">
        <v>0</v>
      </c>
      <c r="C2" s="99"/>
      <c r="D2" s="99"/>
      <c r="E2" s="99"/>
      <c r="F2" s="99"/>
      <c r="G2" s="99"/>
      <c r="H2" s="100"/>
      <c r="I2" s="4"/>
      <c r="J2" s="83"/>
      <c r="K2" s="85"/>
      <c r="L2" s="83"/>
      <c r="M2" s="85"/>
      <c r="N2" s="107">
        <f>'Salary Data'!G6</f>
        <v>93578</v>
      </c>
      <c r="O2" s="108"/>
      <c r="P2" s="108"/>
      <c r="Q2" s="109"/>
      <c r="R2" s="4"/>
      <c r="S2" s="189"/>
      <c r="T2" s="190"/>
      <c r="U2" s="191"/>
      <c r="V2" s="185"/>
    </row>
    <row r="3" spans="1:22" ht="17" thickBot="1">
      <c r="A3" s="4"/>
      <c r="B3" s="101"/>
      <c r="C3" s="102"/>
      <c r="D3" s="102"/>
      <c r="E3" s="102"/>
      <c r="F3" s="102"/>
      <c r="G3" s="102"/>
      <c r="H3" s="103"/>
      <c r="I3" s="4"/>
      <c r="J3" s="86"/>
      <c r="K3" s="88"/>
      <c r="L3" s="86"/>
      <c r="M3" s="88"/>
      <c r="N3" s="110"/>
      <c r="O3" s="111"/>
      <c r="P3" s="111"/>
      <c r="Q3" s="112"/>
      <c r="R3" s="4"/>
      <c r="S3" s="192"/>
      <c r="T3" s="186"/>
      <c r="U3" s="193"/>
      <c r="V3" s="185"/>
    </row>
    <row r="4" spans="1:22" ht="17" thickBot="1">
      <c r="A4" s="4"/>
      <c r="B4" s="104"/>
      <c r="C4" s="105"/>
      <c r="D4" s="105"/>
      <c r="E4" s="105"/>
      <c r="F4" s="105"/>
      <c r="G4" s="105"/>
      <c r="H4" s="106"/>
      <c r="I4" s="4"/>
      <c r="J4" s="86"/>
      <c r="K4" s="88"/>
      <c r="L4" s="86"/>
      <c r="M4" s="88"/>
      <c r="N4" s="77" t="str">
        <f>'Salary Data'!G7</f>
        <v>New York</v>
      </c>
      <c r="O4" s="78"/>
      <c r="P4" s="78"/>
      <c r="Q4" s="79"/>
      <c r="R4" s="4"/>
      <c r="S4" s="192"/>
      <c r="T4" s="186"/>
      <c r="U4" s="193"/>
      <c r="V4" s="185"/>
    </row>
    <row r="5" spans="1:22" ht="17" thickBot="1">
      <c r="A5" s="4"/>
      <c r="B5" s="4"/>
      <c r="C5" s="4"/>
      <c r="D5" s="4"/>
      <c r="E5" s="4"/>
      <c r="F5" s="4"/>
      <c r="G5" s="4"/>
      <c r="H5" s="4"/>
      <c r="I5" s="4"/>
      <c r="J5" s="89"/>
      <c r="K5" s="91"/>
      <c r="L5" s="89"/>
      <c r="M5" s="91"/>
      <c r="N5" s="80"/>
      <c r="O5" s="81"/>
      <c r="P5" s="81"/>
      <c r="Q5" s="82"/>
      <c r="R5" s="4"/>
      <c r="S5" s="192"/>
      <c r="T5" s="186"/>
      <c r="U5" s="193"/>
      <c r="V5" s="185"/>
    </row>
    <row r="6" spans="1:22" ht="17" thickBot="1">
      <c r="A6" s="4"/>
      <c r="B6" s="83"/>
      <c r="C6" s="84"/>
      <c r="D6" s="84"/>
      <c r="E6" s="84"/>
      <c r="F6" s="84"/>
      <c r="G6" s="84"/>
      <c r="H6" s="85"/>
      <c r="I6" s="4"/>
      <c r="J6" s="4"/>
      <c r="K6" s="4"/>
      <c r="L6" s="4"/>
      <c r="M6" s="4"/>
      <c r="N6" s="4"/>
      <c r="O6" s="4"/>
      <c r="P6" s="4"/>
      <c r="Q6" s="4"/>
      <c r="R6" s="4"/>
      <c r="S6" s="192"/>
      <c r="T6" s="186"/>
      <c r="U6" s="193"/>
      <c r="V6" s="185"/>
    </row>
    <row r="7" spans="1:22" ht="15.75" customHeight="1">
      <c r="A7" s="4"/>
      <c r="B7" s="86"/>
      <c r="C7" s="87"/>
      <c r="D7" s="87"/>
      <c r="E7" s="87"/>
      <c r="F7" s="87"/>
      <c r="G7" s="87"/>
      <c r="H7" s="88"/>
      <c r="I7" s="4"/>
      <c r="J7" s="5"/>
      <c r="K7" s="121" t="s">
        <v>64</v>
      </c>
      <c r="L7" s="122"/>
      <c r="M7" s="21"/>
      <c r="N7" s="5"/>
      <c r="O7" s="74" t="s">
        <v>2</v>
      </c>
      <c r="P7" s="74"/>
      <c r="Q7" s="6"/>
      <c r="R7" s="4"/>
      <c r="S7" s="194"/>
      <c r="T7" s="187"/>
      <c r="U7" s="195"/>
      <c r="V7" s="185"/>
    </row>
    <row r="8" spans="1:22" ht="12" customHeight="1" thickBot="1">
      <c r="A8" s="4"/>
      <c r="B8" s="86"/>
      <c r="C8" s="87"/>
      <c r="D8" s="87"/>
      <c r="E8" s="87"/>
      <c r="F8" s="87"/>
      <c r="G8" s="87"/>
      <c r="H8" s="88"/>
      <c r="I8" s="4"/>
      <c r="J8" s="7"/>
      <c r="K8" s="123"/>
      <c r="L8" s="124"/>
      <c r="M8" s="22"/>
      <c r="N8" s="7"/>
      <c r="O8" s="75"/>
      <c r="P8" s="75"/>
      <c r="Q8" s="8"/>
      <c r="R8" s="4"/>
      <c r="S8" s="194"/>
      <c r="T8" s="187"/>
      <c r="U8" s="195"/>
      <c r="V8" s="185"/>
    </row>
    <row r="9" spans="1:22" ht="19.5" customHeight="1" thickBot="1">
      <c r="A9" s="4"/>
      <c r="B9" s="86"/>
      <c r="C9" s="87"/>
      <c r="D9" s="87"/>
      <c r="E9" s="87"/>
      <c r="F9" s="87"/>
      <c r="G9" s="87"/>
      <c r="H9" s="88"/>
      <c r="I9" s="4"/>
      <c r="J9" s="7"/>
      <c r="K9" s="125" t="s">
        <v>3</v>
      </c>
      <c r="L9" s="125"/>
      <c r="M9" s="22"/>
      <c r="N9" s="7"/>
      <c r="O9" s="119" t="str">
        <f>K7</f>
        <v>Chicago</v>
      </c>
      <c r="P9" s="120"/>
      <c r="Q9" s="8"/>
      <c r="R9" s="4"/>
      <c r="S9" s="194"/>
      <c r="T9" s="187"/>
      <c r="U9" s="195"/>
      <c r="V9" s="185"/>
    </row>
    <row r="10" spans="1:22" ht="16.5" customHeight="1" thickBot="1">
      <c r="A10" s="4"/>
      <c r="B10" s="86"/>
      <c r="C10" s="87"/>
      <c r="D10" s="87"/>
      <c r="E10" s="87"/>
      <c r="F10" s="87"/>
      <c r="G10" s="87"/>
      <c r="H10" s="88"/>
      <c r="I10" s="4"/>
      <c r="J10" s="7"/>
      <c r="K10" s="126"/>
      <c r="L10" s="126"/>
      <c r="M10" s="22"/>
      <c r="N10" s="7"/>
      <c r="O10" s="126" t="s">
        <v>4</v>
      </c>
      <c r="P10" s="126"/>
      <c r="Q10" s="8"/>
      <c r="R10" s="4"/>
      <c r="S10" s="192"/>
      <c r="T10" s="186"/>
      <c r="U10" s="193"/>
      <c r="V10" s="184"/>
    </row>
    <row r="11" spans="1:22">
      <c r="A11" s="4"/>
      <c r="B11" s="86"/>
      <c r="C11" s="87"/>
      <c r="D11" s="87"/>
      <c r="E11" s="87"/>
      <c r="F11" s="87"/>
      <c r="G11" s="87"/>
      <c r="H11" s="88"/>
      <c r="I11" s="4"/>
      <c r="J11" s="7"/>
      <c r="K11" s="92">
        <f>VLOOKUP($K$7,'Quality of Life Data'!$A$41:$C$51,3,FALSE)</f>
        <v>8</v>
      </c>
      <c r="L11" s="93"/>
      <c r="M11" s="22"/>
      <c r="N11" s="7"/>
      <c r="O11" s="113">
        <f>VLOOKUP($K$7,'Quality of Life Data'!$A$41:$C$51,2,FALSE)</f>
        <v>1284.5</v>
      </c>
      <c r="P11" s="114"/>
      <c r="Q11" s="8"/>
      <c r="R11" s="4"/>
      <c r="S11" s="192"/>
      <c r="T11" s="186"/>
      <c r="U11" s="193"/>
      <c r="V11" s="184"/>
    </row>
    <row r="12" spans="1:22">
      <c r="A12" s="4"/>
      <c r="B12" s="86"/>
      <c r="C12" s="87"/>
      <c r="D12" s="87"/>
      <c r="E12" s="87"/>
      <c r="F12" s="87"/>
      <c r="G12" s="87"/>
      <c r="H12" s="88"/>
      <c r="I12" s="4"/>
      <c r="J12" s="7"/>
      <c r="K12" s="94"/>
      <c r="L12" s="95"/>
      <c r="M12" s="22"/>
      <c r="N12" s="7"/>
      <c r="O12" s="115"/>
      <c r="P12" s="116"/>
      <c r="Q12" s="8"/>
      <c r="R12" s="4"/>
      <c r="S12" s="192"/>
      <c r="T12" s="186"/>
      <c r="U12" s="193"/>
      <c r="V12" s="184"/>
    </row>
    <row r="13" spans="1:22">
      <c r="A13" s="4"/>
      <c r="B13" s="86"/>
      <c r="C13" s="87"/>
      <c r="D13" s="87"/>
      <c r="E13" s="87"/>
      <c r="F13" s="87"/>
      <c r="G13" s="87"/>
      <c r="H13" s="88"/>
      <c r="I13" s="4"/>
      <c r="J13" s="7"/>
      <c r="K13" s="94"/>
      <c r="L13" s="95"/>
      <c r="M13" s="22"/>
      <c r="N13" s="7"/>
      <c r="O13" s="115"/>
      <c r="P13" s="116"/>
      <c r="Q13" s="8"/>
      <c r="R13" s="4"/>
      <c r="S13" s="192"/>
      <c r="T13" s="186"/>
      <c r="U13" s="193"/>
      <c r="V13" s="184"/>
    </row>
    <row r="14" spans="1:22">
      <c r="A14" s="4"/>
      <c r="B14" s="86"/>
      <c r="C14" s="87"/>
      <c r="D14" s="87"/>
      <c r="E14" s="87"/>
      <c r="F14" s="87"/>
      <c r="G14" s="87"/>
      <c r="H14" s="88"/>
      <c r="I14" s="4"/>
      <c r="J14" s="7"/>
      <c r="K14" s="94"/>
      <c r="L14" s="95"/>
      <c r="M14" s="22"/>
      <c r="N14" s="7"/>
      <c r="O14" s="115"/>
      <c r="P14" s="116"/>
      <c r="Q14" s="8"/>
      <c r="R14" s="4"/>
      <c r="S14" s="192"/>
      <c r="T14" s="186"/>
      <c r="U14" s="193"/>
      <c r="V14" s="184"/>
    </row>
    <row r="15" spans="1:22">
      <c r="A15" s="4"/>
      <c r="B15" s="86"/>
      <c r="C15" s="87"/>
      <c r="D15" s="87"/>
      <c r="E15" s="87"/>
      <c r="F15" s="87"/>
      <c r="G15" s="87"/>
      <c r="H15" s="88"/>
      <c r="I15" s="4"/>
      <c r="J15" s="7"/>
      <c r="K15" s="94"/>
      <c r="L15" s="95"/>
      <c r="M15" s="22"/>
      <c r="N15" s="7"/>
      <c r="O15" s="115"/>
      <c r="P15" s="116"/>
      <c r="Q15" s="8"/>
      <c r="R15" s="4"/>
      <c r="S15" s="192"/>
      <c r="T15" s="186"/>
      <c r="U15" s="193"/>
      <c r="V15" s="184"/>
    </row>
    <row r="16" spans="1:22">
      <c r="A16" s="4"/>
      <c r="B16" s="86"/>
      <c r="C16" s="87"/>
      <c r="D16" s="87"/>
      <c r="E16" s="87"/>
      <c r="F16" s="87"/>
      <c r="G16" s="87"/>
      <c r="H16" s="88"/>
      <c r="I16" s="4"/>
      <c r="J16" s="7"/>
      <c r="K16" s="94"/>
      <c r="L16" s="95"/>
      <c r="M16" s="22"/>
      <c r="N16" s="7"/>
      <c r="O16" s="115"/>
      <c r="P16" s="116"/>
      <c r="Q16" s="8"/>
      <c r="R16" s="4"/>
      <c r="S16" s="192"/>
      <c r="T16" s="186"/>
      <c r="U16" s="193"/>
      <c r="V16" s="184"/>
    </row>
    <row r="17" spans="1:22">
      <c r="A17" s="4"/>
      <c r="B17" s="86"/>
      <c r="C17" s="87"/>
      <c r="D17" s="87"/>
      <c r="E17" s="87"/>
      <c r="F17" s="87"/>
      <c r="G17" s="87"/>
      <c r="H17" s="88"/>
      <c r="I17" s="4"/>
      <c r="J17" s="7"/>
      <c r="K17" s="94"/>
      <c r="L17" s="95"/>
      <c r="M17" s="22"/>
      <c r="N17" s="7"/>
      <c r="O17" s="115"/>
      <c r="P17" s="116"/>
      <c r="Q17" s="8"/>
      <c r="R17" s="4"/>
      <c r="S17" s="192"/>
      <c r="T17" s="186"/>
      <c r="U17" s="193"/>
      <c r="V17" s="184"/>
    </row>
    <row r="18" spans="1:22" ht="17" thickBot="1">
      <c r="A18" s="4"/>
      <c r="B18" s="86"/>
      <c r="C18" s="87"/>
      <c r="D18" s="87"/>
      <c r="E18" s="87"/>
      <c r="F18" s="87"/>
      <c r="G18" s="87"/>
      <c r="H18" s="88"/>
      <c r="I18" s="4"/>
      <c r="J18" s="7"/>
      <c r="K18" s="96"/>
      <c r="L18" s="97"/>
      <c r="M18" s="22"/>
      <c r="N18" s="7"/>
      <c r="O18" s="117"/>
      <c r="P18" s="118"/>
      <c r="Q18" s="8"/>
      <c r="R18" s="4"/>
      <c r="S18" s="201" t="s">
        <v>965</v>
      </c>
      <c r="T18" s="202"/>
      <c r="U18" s="203"/>
      <c r="V18" s="184"/>
    </row>
    <row r="19" spans="1:22" ht="16" customHeight="1">
      <c r="A19" s="4"/>
      <c r="B19" s="86"/>
      <c r="C19" s="87"/>
      <c r="D19" s="87"/>
      <c r="E19" s="87"/>
      <c r="F19" s="87"/>
      <c r="G19" s="87"/>
      <c r="H19" s="88"/>
      <c r="I19" s="4"/>
      <c r="J19" s="7"/>
      <c r="K19" s="22"/>
      <c r="L19" s="22"/>
      <c r="M19" s="22"/>
      <c r="N19" s="7"/>
      <c r="O19" s="74" t="s">
        <v>5</v>
      </c>
      <c r="P19" s="74"/>
      <c r="Q19" s="8"/>
      <c r="R19" s="4"/>
      <c r="S19" s="204"/>
      <c r="T19" s="202"/>
      <c r="U19" s="203"/>
      <c r="V19" s="184"/>
    </row>
    <row r="20" spans="1:22" ht="15.75" customHeight="1">
      <c r="A20" s="4"/>
      <c r="B20" s="86"/>
      <c r="C20" s="87"/>
      <c r="D20" s="87"/>
      <c r="E20" s="87"/>
      <c r="F20" s="87"/>
      <c r="G20" s="87"/>
      <c r="H20" s="88"/>
      <c r="I20" s="4"/>
      <c r="J20" s="127" t="s">
        <v>6</v>
      </c>
      <c r="K20" s="128"/>
      <c r="L20" s="128"/>
      <c r="M20" s="128"/>
      <c r="N20" s="7"/>
      <c r="O20" s="75"/>
      <c r="P20" s="75"/>
      <c r="Q20" s="8"/>
      <c r="R20" s="4"/>
      <c r="S20" s="204"/>
      <c r="T20" s="202"/>
      <c r="U20" s="203"/>
      <c r="V20" s="184"/>
    </row>
    <row r="21" spans="1:22" ht="15.75" customHeight="1">
      <c r="A21" s="4"/>
      <c r="B21" s="86"/>
      <c r="C21" s="87"/>
      <c r="D21" s="87"/>
      <c r="E21" s="87"/>
      <c r="F21" s="87"/>
      <c r="G21" s="87"/>
      <c r="H21" s="88"/>
      <c r="I21" s="4"/>
      <c r="J21" s="127"/>
      <c r="K21" s="128"/>
      <c r="L21" s="128"/>
      <c r="M21" s="128"/>
      <c r="N21" s="7"/>
      <c r="O21" s="75"/>
      <c r="P21" s="75"/>
      <c r="Q21" s="8"/>
      <c r="R21" s="4"/>
      <c r="S21" s="196"/>
      <c r="T21" s="188"/>
      <c r="U21" s="197"/>
      <c r="V21" s="184"/>
    </row>
    <row r="22" spans="1:22" ht="27" customHeight="1" thickBot="1">
      <c r="A22" s="4"/>
      <c r="B22" s="89"/>
      <c r="C22" s="90"/>
      <c r="D22" s="90"/>
      <c r="E22" s="90"/>
      <c r="F22" s="90"/>
      <c r="G22" s="90"/>
      <c r="H22" s="91"/>
      <c r="I22" s="4"/>
      <c r="J22" s="129"/>
      <c r="K22" s="130"/>
      <c r="L22" s="130"/>
      <c r="M22" s="130"/>
      <c r="N22" s="41"/>
      <c r="O22" s="76"/>
      <c r="P22" s="76"/>
      <c r="Q22" s="42"/>
      <c r="R22" s="4"/>
      <c r="S22" s="198"/>
      <c r="T22" s="199"/>
      <c r="U22" s="200"/>
      <c r="V22" s="184"/>
    </row>
    <row r="23" spans="1:22" ht="11.25" customHeight="1" thickBot="1">
      <c r="A23" s="4"/>
      <c r="B23" s="4"/>
      <c r="C23" s="4"/>
      <c r="D23" s="4"/>
      <c r="E23" s="4"/>
      <c r="F23" s="4"/>
      <c r="G23" s="4"/>
      <c r="H23" s="4"/>
      <c r="I23" s="4"/>
      <c r="J23" s="4"/>
      <c r="K23" s="4"/>
      <c r="L23" s="4"/>
      <c r="M23" s="4"/>
      <c r="N23" s="4"/>
      <c r="O23" s="4"/>
      <c r="P23" s="4"/>
      <c r="Q23" s="4"/>
      <c r="R23" s="4"/>
      <c r="S23" s="184"/>
      <c r="T23" s="184"/>
      <c r="U23" s="184"/>
      <c r="V23" s="184"/>
    </row>
    <row r="24" spans="1:22" ht="29" customHeight="1" thickBot="1">
      <c r="A24" s="4"/>
      <c r="B24" s="83"/>
      <c r="C24" s="84"/>
      <c r="D24" s="85"/>
      <c r="E24" s="134" t="s">
        <v>709</v>
      </c>
      <c r="F24" s="135"/>
      <c r="G24" s="135"/>
      <c r="H24" s="136"/>
      <c r="I24" s="83"/>
      <c r="J24" s="84"/>
      <c r="K24" s="84"/>
      <c r="L24" s="84"/>
      <c r="M24" s="84"/>
      <c r="N24" s="65" t="str">
        <f>'Bottom Data'!A15 &amp; "'s"</f>
        <v>Boston's</v>
      </c>
      <c r="O24" s="66"/>
      <c r="P24" s="66"/>
      <c r="Q24" s="67"/>
      <c r="R24" s="4"/>
      <c r="S24" s="189"/>
      <c r="T24" s="190"/>
      <c r="U24" s="191"/>
      <c r="V24" s="184"/>
    </row>
    <row r="25" spans="1:22" ht="25" customHeight="1">
      <c r="A25" s="4"/>
      <c r="B25" s="86"/>
      <c r="C25" s="87"/>
      <c r="D25" s="88"/>
      <c r="E25" s="137">
        <f>GETPIVOTDATA("Sum of Total Population",'Bottom Data'!$A$14)</f>
        <v>669469</v>
      </c>
      <c r="F25" s="138">
        <f>GETPIVOTDATA("Sum of Total Population",'Bottom Data'!$A$14)</f>
        <v>669469</v>
      </c>
      <c r="G25" s="138">
        <f>GETPIVOTDATA("Sum of Total Population",'Bottom Data'!$A$14)</f>
        <v>669469</v>
      </c>
      <c r="H25" s="139">
        <f>GETPIVOTDATA("Sum of Total Population",'Bottom Data'!$A$14)</f>
        <v>669469</v>
      </c>
      <c r="I25" s="86"/>
      <c r="J25" s="87"/>
      <c r="K25" s="87"/>
      <c r="L25" s="87"/>
      <c r="M25" s="87"/>
      <c r="N25" s="68" t="s">
        <v>901</v>
      </c>
      <c r="O25" s="69"/>
      <c r="P25" s="69"/>
      <c r="Q25" s="70"/>
      <c r="R25" s="4"/>
      <c r="S25" s="192"/>
      <c r="T25" s="186"/>
      <c r="U25" s="193"/>
      <c r="V25" s="184"/>
    </row>
    <row r="26" spans="1:22" ht="6" customHeight="1" thickBot="1">
      <c r="A26" s="4"/>
      <c r="B26" s="86"/>
      <c r="C26" s="87"/>
      <c r="D26" s="88"/>
      <c r="E26" s="140"/>
      <c r="F26" s="141"/>
      <c r="G26" s="141"/>
      <c r="H26" s="142"/>
      <c r="I26" s="86"/>
      <c r="J26" s="87"/>
      <c r="K26" s="87"/>
      <c r="L26" s="87"/>
      <c r="M26" s="87"/>
      <c r="N26" s="71"/>
      <c r="O26" s="72"/>
      <c r="P26" s="72"/>
      <c r="Q26" s="73"/>
      <c r="R26" s="4"/>
      <c r="S26" s="192"/>
      <c r="T26" s="186"/>
      <c r="U26" s="193"/>
      <c r="V26" s="184"/>
    </row>
    <row r="27" spans="1:22" ht="16" customHeight="1" thickBot="1">
      <c r="A27" s="4"/>
      <c r="B27" s="86"/>
      <c r="C27" s="87"/>
      <c r="D27" s="88"/>
      <c r="E27" s="143">
        <f>GETPIVOTDATA("Sum of Total Population",'Bottom Data'!$A$14)</f>
        <v>669469</v>
      </c>
      <c r="F27" s="144">
        <f>GETPIVOTDATA("Sum of Total Population",'Bottom Data'!$A$14)</f>
        <v>669469</v>
      </c>
      <c r="G27" s="144">
        <f>GETPIVOTDATA("Sum of Total Population",'Bottom Data'!$A$14)</f>
        <v>669469</v>
      </c>
      <c r="H27" s="145">
        <f>GETPIVOTDATA("Sum of Total Population",'Bottom Data'!$A$14)</f>
        <v>669469</v>
      </c>
      <c r="I27" s="86"/>
      <c r="J27" s="87"/>
      <c r="K27" s="87"/>
      <c r="L27" s="87"/>
      <c r="M27" s="87"/>
      <c r="N27" s="7"/>
      <c r="O27" s="160" t="str">
        <f>IF('Bottom Data'!B25=1,'Bottom Data'!B25&amp;"st",IF('Bottom Data'!B25=2,'Bottom Data'!B25&amp;"nd",IF('Bottom Data'!B25=3,'Bottom Data'!B25&amp;"rd",'Bottom Data'!B25&amp;"th")))</f>
        <v>45th</v>
      </c>
      <c r="P27" s="22"/>
      <c r="Q27" s="8"/>
      <c r="R27" s="4"/>
      <c r="S27" s="192"/>
      <c r="T27" s="186"/>
      <c r="U27" s="193"/>
      <c r="V27" s="184"/>
    </row>
    <row r="28" spans="1:22" ht="15.75" customHeight="1">
      <c r="A28" s="4"/>
      <c r="B28" s="86"/>
      <c r="C28" s="87"/>
      <c r="D28" s="88"/>
      <c r="E28" s="146" t="s">
        <v>710</v>
      </c>
      <c r="F28" s="147"/>
      <c r="G28" s="147"/>
      <c r="H28" s="148"/>
      <c r="I28" s="86"/>
      <c r="J28" s="87"/>
      <c r="K28" s="87"/>
      <c r="L28" s="87"/>
      <c r="M28" s="87"/>
      <c r="N28" s="7"/>
      <c r="O28" s="161"/>
      <c r="P28" s="163" t="s">
        <v>715</v>
      </c>
      <c r="Q28" s="164"/>
      <c r="R28" s="4"/>
      <c r="S28" s="192"/>
      <c r="T28" s="186"/>
      <c r="U28" s="193"/>
      <c r="V28" s="184"/>
    </row>
    <row r="29" spans="1:22" ht="15.75" customHeight="1" thickBot="1">
      <c r="A29" s="4"/>
      <c r="B29" s="86"/>
      <c r="C29" s="87"/>
      <c r="D29" s="88"/>
      <c r="E29" s="146"/>
      <c r="F29" s="147"/>
      <c r="G29" s="147"/>
      <c r="H29" s="148"/>
      <c r="I29" s="86"/>
      <c r="J29" s="87"/>
      <c r="K29" s="87"/>
      <c r="L29" s="87"/>
      <c r="M29" s="87"/>
      <c r="N29" s="7"/>
      <c r="O29" s="161"/>
      <c r="P29" s="163"/>
      <c r="Q29" s="164"/>
      <c r="R29" s="4"/>
      <c r="S29" s="192"/>
      <c r="T29" s="186"/>
      <c r="U29" s="193"/>
      <c r="V29" s="184"/>
    </row>
    <row r="30" spans="1:22" ht="24.75" customHeight="1" thickBot="1">
      <c r="A30" s="4"/>
      <c r="B30" s="86"/>
      <c r="C30" s="87"/>
      <c r="D30" s="88"/>
      <c r="E30" s="149" t="str">
        <f>'Bottom Data'!$A$15</f>
        <v>Boston</v>
      </c>
      <c r="F30" s="150" t="str">
        <f>'Bottom Data'!$A$15</f>
        <v>Boston</v>
      </c>
      <c r="G30" s="150" t="str">
        <f>'Bottom Data'!$A$15</f>
        <v>Boston</v>
      </c>
      <c r="H30" s="151" t="str">
        <f>'Bottom Data'!$A$15</f>
        <v>Boston</v>
      </c>
      <c r="I30" s="86"/>
      <c r="J30" s="87"/>
      <c r="K30" s="87"/>
      <c r="L30" s="87"/>
      <c r="M30" s="87"/>
      <c r="N30" s="7"/>
      <c r="O30" s="162"/>
      <c r="P30" s="22"/>
      <c r="Q30" s="8"/>
      <c r="R30" s="4"/>
      <c r="S30" s="192"/>
      <c r="T30" s="186"/>
      <c r="U30" s="193"/>
      <c r="V30" s="184"/>
    </row>
    <row r="31" spans="1:22" ht="16" customHeight="1" thickBot="1">
      <c r="A31" s="4"/>
      <c r="B31" s="86"/>
      <c r="C31" s="87"/>
      <c r="D31" s="88"/>
      <c r="E31" s="152" t="str">
        <f>'Bottom Data'!$A$15</f>
        <v>Boston</v>
      </c>
      <c r="F31" s="153" t="str">
        <f>'Bottom Data'!$A$15</f>
        <v>Boston</v>
      </c>
      <c r="G31" s="153" t="str">
        <f>'Bottom Data'!$A$15</f>
        <v>Boston</v>
      </c>
      <c r="H31" s="154" t="str">
        <f>'Bottom Data'!$A$15</f>
        <v>Boston</v>
      </c>
      <c r="I31" s="86"/>
      <c r="J31" s="87"/>
      <c r="K31" s="87"/>
      <c r="L31" s="87"/>
      <c r="M31" s="87"/>
      <c r="N31" s="7"/>
      <c r="O31" s="22"/>
      <c r="P31" s="22"/>
      <c r="Q31" s="8"/>
      <c r="R31" s="4"/>
      <c r="S31" s="192"/>
      <c r="T31" s="186"/>
      <c r="U31" s="193"/>
      <c r="V31" s="184"/>
    </row>
    <row r="32" spans="1:22" ht="17" customHeight="1" thickBot="1">
      <c r="A32" s="4"/>
      <c r="B32" s="86"/>
      <c r="C32" s="87"/>
      <c r="D32" s="88"/>
      <c r="E32" s="155" t="str">
        <f>'Bottom Data'!$A$15</f>
        <v>Boston</v>
      </c>
      <c r="F32" s="156" t="str">
        <f>'Bottom Data'!$A$15</f>
        <v>Boston</v>
      </c>
      <c r="G32" s="156" t="str">
        <f>'Bottom Data'!$A$15</f>
        <v>Boston</v>
      </c>
      <c r="H32" s="157" t="str">
        <f>'Bottom Data'!$A$15</f>
        <v>Boston</v>
      </c>
      <c r="I32" s="86"/>
      <c r="J32" s="87"/>
      <c r="K32" s="87"/>
      <c r="L32" s="87"/>
      <c r="M32" s="87"/>
      <c r="N32" s="7"/>
      <c r="O32" s="160" t="str">
        <f>IF('Bottom Data'!B26=1,'Bottom Data'!B26&amp;"st",IF('Bottom Data'!B26=2,'Bottom Data'!B26&amp;"nd",IF('Bottom Data'!B26=3,'Bottom Data'!B26&amp;"rd",'Bottom Data'!B26&amp;"th")))</f>
        <v>114th</v>
      </c>
      <c r="P32" s="22"/>
      <c r="Q32" s="8"/>
      <c r="R32" s="4"/>
      <c r="S32" s="192"/>
      <c r="T32" s="186"/>
      <c r="U32" s="193"/>
      <c r="V32" s="184"/>
    </row>
    <row r="33" spans="1:22" ht="16" customHeight="1">
      <c r="A33" s="4"/>
      <c r="B33" s="86"/>
      <c r="C33" s="87"/>
      <c r="D33" s="88"/>
      <c r="E33" s="158" t="s">
        <v>711</v>
      </c>
      <c r="F33" s="125"/>
      <c r="G33" s="125"/>
      <c r="H33" s="159"/>
      <c r="I33" s="86"/>
      <c r="J33" s="87"/>
      <c r="K33" s="87"/>
      <c r="L33" s="87"/>
      <c r="M33" s="87"/>
      <c r="N33" s="7"/>
      <c r="O33" s="161"/>
      <c r="P33" s="165" t="s">
        <v>903</v>
      </c>
      <c r="Q33" s="164"/>
      <c r="R33" s="4"/>
      <c r="S33" s="192"/>
      <c r="T33" s="186"/>
      <c r="U33" s="193"/>
      <c r="V33" s="184"/>
    </row>
    <row r="34" spans="1:22" ht="16" customHeight="1" thickBot="1">
      <c r="A34" s="4"/>
      <c r="B34" s="86"/>
      <c r="C34" s="87"/>
      <c r="D34" s="88"/>
      <c r="E34" s="158"/>
      <c r="F34" s="125"/>
      <c r="G34" s="125"/>
      <c r="H34" s="159"/>
      <c r="I34" s="86"/>
      <c r="J34" s="87"/>
      <c r="K34" s="87"/>
      <c r="L34" s="87"/>
      <c r="M34" s="87"/>
      <c r="N34" s="7"/>
      <c r="O34" s="161"/>
      <c r="P34" s="165"/>
      <c r="Q34" s="164"/>
      <c r="R34" s="4"/>
      <c r="S34" s="194"/>
      <c r="T34" s="187"/>
      <c r="U34" s="195"/>
      <c r="V34" s="184"/>
    </row>
    <row r="35" spans="1:22" ht="15.75" customHeight="1" thickBot="1">
      <c r="A35" s="4"/>
      <c r="B35" s="86"/>
      <c r="C35" s="87"/>
      <c r="D35" s="88"/>
      <c r="E35" s="92">
        <f>GETPIVOTDATA("City Median Age",'Bottom Data'!$A$14)</f>
        <v>31.8</v>
      </c>
      <c r="F35" s="131">
        <f>GETPIVOTDATA("City Median Age",'Bottom Data'!$A$14)</f>
        <v>31.8</v>
      </c>
      <c r="G35" s="131">
        <f>GETPIVOTDATA("City Median Age",'Bottom Data'!$A$14)</f>
        <v>31.8</v>
      </c>
      <c r="H35" s="93">
        <f>GETPIVOTDATA("City Median Age",'Bottom Data'!$A$14)</f>
        <v>31.8</v>
      </c>
      <c r="I35" s="86"/>
      <c r="J35" s="87"/>
      <c r="K35" s="87"/>
      <c r="L35" s="87"/>
      <c r="M35" s="87"/>
      <c r="N35" s="7"/>
      <c r="O35" s="162"/>
      <c r="P35" s="22"/>
      <c r="Q35" s="8"/>
      <c r="R35" s="4"/>
      <c r="S35" s="194"/>
      <c r="T35" s="187"/>
      <c r="U35" s="195"/>
      <c r="V35" s="184"/>
    </row>
    <row r="36" spans="1:22" ht="15.75" customHeight="1" thickBot="1">
      <c r="A36" s="4"/>
      <c r="B36" s="86"/>
      <c r="C36" s="87"/>
      <c r="D36" s="88"/>
      <c r="E36" s="94">
        <f>GETPIVOTDATA("City Median Age",'Bottom Data'!$A$14)</f>
        <v>31.8</v>
      </c>
      <c r="F36" s="132">
        <f>GETPIVOTDATA("City Median Age",'Bottom Data'!$A$14)</f>
        <v>31.8</v>
      </c>
      <c r="G36" s="132">
        <f>GETPIVOTDATA("City Median Age",'Bottom Data'!$A$14)</f>
        <v>31.8</v>
      </c>
      <c r="H36" s="95">
        <f>GETPIVOTDATA("City Median Age",'Bottom Data'!$A$14)</f>
        <v>31.8</v>
      </c>
      <c r="I36" s="86"/>
      <c r="J36" s="87"/>
      <c r="K36" s="87"/>
      <c r="L36" s="87"/>
      <c r="M36" s="87"/>
      <c r="N36" s="7"/>
      <c r="O36" s="22"/>
      <c r="P36" s="22"/>
      <c r="Q36" s="8"/>
      <c r="R36" s="4"/>
      <c r="S36" s="194"/>
      <c r="T36" s="187"/>
      <c r="U36" s="195"/>
      <c r="V36" s="184"/>
    </row>
    <row r="37" spans="1:22" ht="15.75" customHeight="1">
      <c r="A37" s="4"/>
      <c r="B37" s="86"/>
      <c r="C37" s="87"/>
      <c r="D37" s="88"/>
      <c r="E37" s="94">
        <f>GETPIVOTDATA("City Median Age",'Bottom Data'!$A$14)</f>
        <v>31.8</v>
      </c>
      <c r="F37" s="132">
        <f>GETPIVOTDATA("City Median Age",'Bottom Data'!$A$14)</f>
        <v>31.8</v>
      </c>
      <c r="G37" s="132">
        <f>GETPIVOTDATA("City Median Age",'Bottom Data'!$A$14)</f>
        <v>31.8</v>
      </c>
      <c r="H37" s="95">
        <f>GETPIVOTDATA("City Median Age",'Bottom Data'!$A$14)</f>
        <v>31.8</v>
      </c>
      <c r="I37" s="86"/>
      <c r="J37" s="87"/>
      <c r="K37" s="87"/>
      <c r="L37" s="87"/>
      <c r="M37" s="87"/>
      <c r="N37" s="7"/>
      <c r="O37" s="160" t="str">
        <f>IF('Bottom Data'!B27=1,'Bottom Data'!B27&amp;"st",IF('Bottom Data'!B27=2,'Bottom Data'!B27&amp;"nd",IF('Bottom Data'!B27=3,'Bottom Data'!B27&amp;"rd",'Bottom Data'!B27&amp;"th")))</f>
        <v>39th</v>
      </c>
      <c r="P37" s="22"/>
      <c r="Q37" s="8"/>
      <c r="R37" s="4"/>
      <c r="S37" s="192"/>
      <c r="T37" s="186"/>
      <c r="U37" s="193"/>
      <c r="V37" s="184"/>
    </row>
    <row r="38" spans="1:22" ht="15.75" customHeight="1">
      <c r="A38" s="4"/>
      <c r="B38" s="86"/>
      <c r="C38" s="87"/>
      <c r="D38" s="88"/>
      <c r="E38" s="94">
        <f>GETPIVOTDATA("City Median Age",'Bottom Data'!$A$14)</f>
        <v>31.8</v>
      </c>
      <c r="F38" s="132">
        <f>GETPIVOTDATA("City Median Age",'Bottom Data'!$A$14)</f>
        <v>31.8</v>
      </c>
      <c r="G38" s="132">
        <f>GETPIVOTDATA("City Median Age",'Bottom Data'!$A$14)</f>
        <v>31.8</v>
      </c>
      <c r="H38" s="95">
        <f>GETPIVOTDATA("City Median Age",'Bottom Data'!$A$14)</f>
        <v>31.8</v>
      </c>
      <c r="I38" s="86"/>
      <c r="J38" s="87"/>
      <c r="K38" s="87"/>
      <c r="L38" s="87"/>
      <c r="M38" s="87"/>
      <c r="N38" s="7"/>
      <c r="O38" s="161"/>
      <c r="P38" s="166" t="s">
        <v>938</v>
      </c>
      <c r="Q38" s="167"/>
      <c r="R38" s="4"/>
      <c r="S38" s="201" t="s">
        <v>963</v>
      </c>
      <c r="T38" s="202"/>
      <c r="U38" s="203"/>
      <c r="V38" s="184"/>
    </row>
    <row r="39" spans="1:22" ht="33" customHeight="1">
      <c r="A39" s="4"/>
      <c r="B39" s="86"/>
      <c r="C39" s="87"/>
      <c r="D39" s="88"/>
      <c r="E39" s="94">
        <f>GETPIVOTDATA("City Median Age",'Bottom Data'!$A$14)</f>
        <v>31.8</v>
      </c>
      <c r="F39" s="132">
        <f>GETPIVOTDATA("City Median Age",'Bottom Data'!$A$14)</f>
        <v>31.8</v>
      </c>
      <c r="G39" s="132">
        <f>GETPIVOTDATA("City Median Age",'Bottom Data'!$A$14)</f>
        <v>31.8</v>
      </c>
      <c r="H39" s="95">
        <f>GETPIVOTDATA("City Median Age",'Bottom Data'!$A$14)</f>
        <v>31.8</v>
      </c>
      <c r="I39" s="86"/>
      <c r="J39" s="87"/>
      <c r="K39" s="87"/>
      <c r="L39" s="87"/>
      <c r="M39" s="87"/>
      <c r="N39" s="7"/>
      <c r="O39" s="161"/>
      <c r="P39" s="168"/>
      <c r="Q39" s="167"/>
      <c r="R39" s="4"/>
      <c r="S39" s="204"/>
      <c r="T39" s="202"/>
      <c r="U39" s="203"/>
      <c r="V39" s="184"/>
    </row>
    <row r="40" spans="1:22" ht="15.75" customHeight="1" thickBot="1">
      <c r="A40" s="4"/>
      <c r="B40" s="86"/>
      <c r="C40" s="87"/>
      <c r="D40" s="88"/>
      <c r="E40" s="94">
        <f>GETPIVOTDATA("City Median Age",'Bottom Data'!$A$14)</f>
        <v>31.8</v>
      </c>
      <c r="F40" s="132">
        <f>GETPIVOTDATA("City Median Age",'Bottom Data'!$A$14)</f>
        <v>31.8</v>
      </c>
      <c r="G40" s="132">
        <f>GETPIVOTDATA("City Median Age",'Bottom Data'!$A$14)</f>
        <v>31.8</v>
      </c>
      <c r="H40" s="95">
        <f>GETPIVOTDATA("City Median Age",'Bottom Data'!$A$14)</f>
        <v>31.8</v>
      </c>
      <c r="I40" s="86"/>
      <c r="J40" s="87"/>
      <c r="K40" s="87"/>
      <c r="L40" s="87"/>
      <c r="M40" s="87"/>
      <c r="N40" s="7"/>
      <c r="O40" s="162"/>
      <c r="P40" s="22"/>
      <c r="Q40" s="8"/>
      <c r="R40" s="4"/>
      <c r="S40" s="204"/>
      <c r="T40" s="202"/>
      <c r="U40" s="203"/>
      <c r="V40" s="184"/>
    </row>
    <row r="41" spans="1:22" ht="15.75" customHeight="1">
      <c r="A41" s="4"/>
      <c r="B41" s="86"/>
      <c r="C41" s="87"/>
      <c r="D41" s="88"/>
      <c r="E41" s="94">
        <f>GETPIVOTDATA("City Median Age",'Bottom Data'!$A$14)</f>
        <v>31.8</v>
      </c>
      <c r="F41" s="132">
        <f>GETPIVOTDATA("City Median Age",'Bottom Data'!$A$14)</f>
        <v>31.8</v>
      </c>
      <c r="G41" s="132">
        <f>GETPIVOTDATA("City Median Age",'Bottom Data'!$A$14)</f>
        <v>31.8</v>
      </c>
      <c r="H41" s="95">
        <f>GETPIVOTDATA("City Median Age",'Bottom Data'!$A$14)</f>
        <v>31.8</v>
      </c>
      <c r="I41" s="86"/>
      <c r="J41" s="87"/>
      <c r="K41" s="87"/>
      <c r="L41" s="87"/>
      <c r="M41" s="87"/>
      <c r="N41" s="7"/>
      <c r="O41" s="22"/>
      <c r="P41" s="22"/>
      <c r="Q41" s="8"/>
      <c r="R41" s="4"/>
      <c r="S41" s="7"/>
      <c r="T41" s="182"/>
      <c r="U41" s="8"/>
      <c r="V41" s="4"/>
    </row>
    <row r="42" spans="1:22" ht="15.75" customHeight="1" thickBot="1">
      <c r="A42" s="4"/>
      <c r="B42" s="89"/>
      <c r="C42" s="90"/>
      <c r="D42" s="91"/>
      <c r="E42" s="96">
        <f>GETPIVOTDATA("City Median Age",'Bottom Data'!$A$14)</f>
        <v>31.8</v>
      </c>
      <c r="F42" s="133">
        <f>GETPIVOTDATA("City Median Age",'Bottom Data'!$A$14)</f>
        <v>31.8</v>
      </c>
      <c r="G42" s="133">
        <f>GETPIVOTDATA("City Median Age",'Bottom Data'!$A$14)</f>
        <v>31.8</v>
      </c>
      <c r="H42" s="97">
        <f>GETPIVOTDATA("City Median Age",'Bottom Data'!$A$14)</f>
        <v>31.8</v>
      </c>
      <c r="I42" s="89"/>
      <c r="J42" s="90"/>
      <c r="K42" s="90"/>
      <c r="L42" s="90"/>
      <c r="M42" s="90"/>
      <c r="N42" s="35"/>
      <c r="O42" s="36"/>
      <c r="P42" s="36"/>
      <c r="Q42" s="37"/>
      <c r="R42" s="4"/>
      <c r="S42" s="35"/>
      <c r="T42" s="36"/>
      <c r="U42" s="37"/>
      <c r="V42" s="4"/>
    </row>
    <row r="43" spans="1:22">
      <c r="A43" s="4"/>
      <c r="B43" s="4"/>
      <c r="C43" s="4"/>
      <c r="D43" s="4"/>
      <c r="E43" s="4"/>
      <c r="F43" s="4"/>
      <c r="G43" s="4"/>
      <c r="H43" s="4"/>
      <c r="I43" s="4"/>
      <c r="J43" s="4"/>
      <c r="K43" s="4"/>
      <c r="L43" s="4"/>
      <c r="M43" s="4"/>
      <c r="N43" s="4"/>
      <c r="O43" s="4"/>
      <c r="P43" s="4"/>
      <c r="Q43" s="4"/>
      <c r="R43" s="4"/>
      <c r="S43" s="4"/>
      <c r="T43" s="4"/>
      <c r="U43" s="4"/>
      <c r="V43" s="4"/>
    </row>
    <row r="44" spans="1:22">
      <c r="A44" s="4"/>
      <c r="B44" s="4"/>
      <c r="C44" s="4"/>
      <c r="D44" s="4"/>
      <c r="E44" s="4"/>
      <c r="F44" s="4"/>
      <c r="G44" s="4"/>
      <c r="H44" s="4"/>
      <c r="I44" s="4"/>
      <c r="J44" s="4"/>
      <c r="K44" s="4"/>
      <c r="L44" s="4"/>
      <c r="M44" s="4"/>
      <c r="N44" s="4"/>
      <c r="O44" s="4"/>
      <c r="P44" s="4"/>
      <c r="Q44" s="4"/>
      <c r="R44" s="4"/>
      <c r="S44" s="4"/>
      <c r="T44" s="4"/>
      <c r="U44" s="4"/>
      <c r="V44" s="4"/>
    </row>
    <row r="45" spans="1:22">
      <c r="A45" s="4"/>
      <c r="B45" s="4"/>
      <c r="C45" s="4"/>
      <c r="D45" s="4"/>
      <c r="E45" s="4"/>
      <c r="F45" s="4"/>
      <c r="G45" s="4"/>
      <c r="H45" s="4"/>
      <c r="I45" s="4"/>
      <c r="J45" s="4"/>
      <c r="K45" s="4"/>
      <c r="L45" s="4"/>
      <c r="M45" s="4"/>
      <c r="N45" s="4"/>
      <c r="O45" s="4"/>
      <c r="P45" s="4"/>
      <c r="Q45" s="4"/>
      <c r="R45" s="4"/>
      <c r="S45" s="4"/>
      <c r="T45" s="4"/>
      <c r="U45" s="4"/>
      <c r="V45" s="4"/>
    </row>
    <row r="46" spans="1:22">
      <c r="A46" s="4"/>
      <c r="B46" s="4"/>
      <c r="C46" s="4"/>
      <c r="D46" s="4"/>
      <c r="E46" s="4"/>
      <c r="F46" s="4"/>
      <c r="G46" s="4"/>
      <c r="H46" s="4"/>
      <c r="I46" s="4"/>
      <c r="J46" s="4"/>
      <c r="K46" s="4"/>
      <c r="L46" s="4"/>
      <c r="M46" s="4"/>
      <c r="N46" s="4"/>
      <c r="O46" s="4"/>
      <c r="P46" s="4"/>
      <c r="Q46" s="4"/>
      <c r="R46" s="4"/>
      <c r="S46" s="4"/>
      <c r="T46" s="4"/>
      <c r="U46" s="4"/>
      <c r="V46" s="4"/>
    </row>
    <row r="47" spans="1:22">
      <c r="A47" s="4"/>
      <c r="B47" s="4"/>
      <c r="C47" s="4"/>
      <c r="D47" s="4"/>
      <c r="E47" s="4"/>
      <c r="F47" s="4"/>
      <c r="G47" s="4"/>
      <c r="H47" s="4"/>
      <c r="I47" s="4"/>
      <c r="J47" s="4"/>
      <c r="K47" s="4"/>
      <c r="L47" s="4"/>
      <c r="M47" s="4"/>
      <c r="N47" s="4"/>
      <c r="O47" s="4"/>
      <c r="P47" s="4"/>
      <c r="Q47" s="4"/>
      <c r="R47" s="4"/>
      <c r="S47" s="4"/>
      <c r="T47" s="4"/>
      <c r="U47" s="4"/>
      <c r="V47" s="4"/>
    </row>
    <row r="48" spans="1:22">
      <c r="A48" s="4"/>
      <c r="B48" s="4"/>
      <c r="C48" s="4"/>
      <c r="D48" s="4"/>
      <c r="E48" s="4"/>
      <c r="F48" s="4"/>
      <c r="G48" s="4"/>
      <c r="H48" s="4"/>
      <c r="I48" s="4"/>
      <c r="J48" s="4"/>
      <c r="K48" s="4"/>
      <c r="L48" s="4"/>
      <c r="M48" s="4"/>
      <c r="N48" s="4"/>
      <c r="O48" s="4"/>
      <c r="P48" s="4"/>
      <c r="Q48" s="4"/>
      <c r="R48" s="4"/>
      <c r="S48" s="4"/>
      <c r="T48" s="4"/>
      <c r="U48" s="4"/>
      <c r="V48" s="4"/>
    </row>
    <row r="49" spans="1:22">
      <c r="A49" s="4"/>
      <c r="B49" s="4"/>
      <c r="C49" s="4"/>
      <c r="D49" s="4"/>
      <c r="E49" s="4"/>
      <c r="F49" s="4"/>
      <c r="G49" s="4"/>
      <c r="H49" s="4"/>
      <c r="I49" s="4"/>
      <c r="J49" s="4"/>
      <c r="K49" s="4"/>
      <c r="L49" s="4"/>
      <c r="M49" s="4"/>
      <c r="N49" s="4"/>
      <c r="O49" s="4"/>
      <c r="P49" s="4"/>
      <c r="Q49" s="4"/>
      <c r="R49" s="4"/>
      <c r="S49" s="4"/>
      <c r="T49" s="4"/>
      <c r="U49" s="4"/>
      <c r="V49" s="4"/>
    </row>
    <row r="50" spans="1:22">
      <c r="A50" s="4"/>
      <c r="B50" s="4"/>
      <c r="C50" s="4"/>
      <c r="D50" s="4"/>
      <c r="E50" s="4"/>
      <c r="F50" s="4"/>
      <c r="G50" s="4"/>
      <c r="H50" s="4"/>
      <c r="I50" s="4"/>
      <c r="J50" s="4"/>
      <c r="K50" s="4"/>
      <c r="L50" s="4"/>
      <c r="M50" s="4"/>
      <c r="N50" s="4"/>
      <c r="O50" s="4"/>
      <c r="P50" s="4"/>
      <c r="Q50" s="4"/>
      <c r="R50" s="4"/>
      <c r="S50" s="4"/>
      <c r="T50" s="4"/>
      <c r="U50" s="4"/>
      <c r="V50" s="4"/>
    </row>
    <row r="51" spans="1:22">
      <c r="A51" s="4"/>
      <c r="B51" s="4"/>
      <c r="C51" s="4"/>
      <c r="D51" s="4"/>
      <c r="E51" s="4"/>
      <c r="F51" s="4"/>
      <c r="G51" s="4"/>
      <c r="H51" s="4"/>
      <c r="I51" s="4"/>
      <c r="J51" s="4"/>
      <c r="K51" s="4"/>
      <c r="L51" s="4"/>
      <c r="M51" s="4"/>
      <c r="N51" s="4"/>
      <c r="O51" s="4"/>
      <c r="P51" s="4"/>
      <c r="Q51" s="4"/>
      <c r="R51" s="4"/>
      <c r="S51" s="4"/>
      <c r="T51" s="4"/>
      <c r="U51" s="4"/>
      <c r="V51" s="4"/>
    </row>
    <row r="52" spans="1:22">
      <c r="A52" s="4"/>
      <c r="B52" s="4"/>
      <c r="C52" s="4"/>
      <c r="D52" s="4"/>
      <c r="E52" s="4"/>
      <c r="F52" s="4"/>
      <c r="G52" s="4"/>
      <c r="H52" s="4"/>
      <c r="I52" s="4"/>
      <c r="J52" s="4"/>
      <c r="K52" s="4"/>
      <c r="L52" s="4"/>
      <c r="M52" s="4"/>
      <c r="N52" s="4"/>
      <c r="O52" s="4"/>
      <c r="P52" s="4"/>
      <c r="Q52" s="4"/>
      <c r="R52" s="4"/>
      <c r="S52" s="4"/>
      <c r="T52" s="4"/>
      <c r="U52" s="4"/>
      <c r="V52" s="4"/>
    </row>
    <row r="53" spans="1:22">
      <c r="A53" s="4"/>
      <c r="B53" s="4"/>
      <c r="C53" s="4"/>
      <c r="D53" s="4"/>
      <c r="E53" s="4"/>
      <c r="F53" s="4"/>
      <c r="G53" s="4"/>
      <c r="H53" s="4"/>
      <c r="I53" s="4"/>
      <c r="J53" s="4"/>
      <c r="K53" s="4"/>
      <c r="L53" s="4"/>
      <c r="M53" s="4"/>
      <c r="N53" s="4"/>
      <c r="O53" s="4"/>
      <c r="P53" s="4"/>
      <c r="Q53" s="4"/>
      <c r="R53" s="4"/>
      <c r="S53" s="4"/>
      <c r="T53" s="4"/>
      <c r="U53" s="4"/>
      <c r="V53" s="4"/>
    </row>
    <row r="54" spans="1:22">
      <c r="A54" s="4"/>
      <c r="B54" s="4"/>
      <c r="C54" s="4"/>
      <c r="D54" s="4"/>
      <c r="E54" s="4"/>
      <c r="F54" s="4"/>
      <c r="G54" s="4"/>
      <c r="H54" s="4"/>
      <c r="I54" s="4"/>
      <c r="J54" s="4"/>
      <c r="K54" s="4"/>
      <c r="L54" s="4"/>
      <c r="M54" s="4"/>
      <c r="N54" s="4"/>
      <c r="O54" s="4"/>
      <c r="P54" s="4"/>
      <c r="Q54" s="4"/>
      <c r="R54" s="4"/>
      <c r="S54" s="4"/>
      <c r="T54" s="4"/>
      <c r="U54" s="4"/>
      <c r="V54" s="4"/>
    </row>
    <row r="55" spans="1:22">
      <c r="A55" s="4"/>
      <c r="B55" s="4"/>
      <c r="C55" s="4"/>
      <c r="D55" s="4"/>
      <c r="E55" s="4"/>
      <c r="F55" s="4"/>
      <c r="G55" s="4"/>
      <c r="H55" s="4"/>
      <c r="I55" s="4"/>
      <c r="J55" s="4"/>
      <c r="K55" s="4"/>
      <c r="L55" s="4"/>
      <c r="M55" s="4"/>
      <c r="N55" s="4"/>
      <c r="O55" s="4"/>
      <c r="P55" s="4"/>
      <c r="Q55" s="4"/>
      <c r="R55" s="4"/>
      <c r="S55" s="4"/>
      <c r="T55" s="4"/>
      <c r="U55" s="4"/>
      <c r="V55" s="4"/>
    </row>
    <row r="56" spans="1:22">
      <c r="A56" s="4"/>
      <c r="B56" s="4"/>
      <c r="C56" s="4"/>
      <c r="D56" s="4"/>
      <c r="E56" s="4"/>
      <c r="F56" s="4"/>
      <c r="G56" s="4"/>
      <c r="H56" s="4"/>
      <c r="I56" s="4"/>
      <c r="J56" s="4"/>
      <c r="K56" s="4"/>
      <c r="L56" s="4"/>
      <c r="M56" s="4"/>
      <c r="N56" s="4"/>
      <c r="O56" s="4"/>
      <c r="P56" s="4"/>
      <c r="Q56" s="4"/>
      <c r="R56" s="4"/>
      <c r="S56" s="4"/>
      <c r="T56" s="4"/>
      <c r="U56" s="4"/>
      <c r="V56" s="4"/>
    </row>
    <row r="57" spans="1:22">
      <c r="A57" s="4"/>
      <c r="B57" s="4"/>
      <c r="C57" s="4"/>
      <c r="D57" s="4"/>
      <c r="E57" s="4"/>
      <c r="F57" s="4"/>
      <c r="G57" s="4"/>
      <c r="H57" s="4"/>
      <c r="I57" s="4"/>
      <c r="J57" s="4"/>
      <c r="K57" s="4"/>
      <c r="L57" s="4"/>
      <c r="M57" s="4"/>
      <c r="N57" s="4"/>
      <c r="O57" s="4"/>
      <c r="P57" s="4"/>
      <c r="Q57" s="4"/>
      <c r="R57" s="4"/>
      <c r="S57" s="4"/>
      <c r="T57" s="4"/>
      <c r="U57" s="4"/>
      <c r="V57" s="4"/>
    </row>
    <row r="58" spans="1:22">
      <c r="A58" s="4"/>
      <c r="B58" s="4"/>
      <c r="C58" s="4"/>
      <c r="D58" s="4"/>
      <c r="E58" s="4"/>
      <c r="F58" s="4"/>
      <c r="G58" s="4"/>
      <c r="H58" s="4"/>
      <c r="I58" s="4"/>
      <c r="J58" s="4"/>
      <c r="K58" s="4"/>
      <c r="L58" s="4"/>
      <c r="M58" s="4"/>
      <c r="N58" s="4"/>
      <c r="O58" s="4"/>
      <c r="P58" s="4"/>
      <c r="Q58" s="4"/>
      <c r="R58" s="4"/>
      <c r="S58" s="4"/>
      <c r="T58" s="4"/>
      <c r="U58" s="4"/>
      <c r="V58" s="4"/>
    </row>
    <row r="59" spans="1:22">
      <c r="A59" s="4"/>
      <c r="B59" s="4"/>
      <c r="C59" s="4"/>
      <c r="D59" s="4"/>
      <c r="E59" s="4"/>
      <c r="F59" s="4"/>
      <c r="G59" s="4"/>
      <c r="H59" s="4"/>
      <c r="I59" s="4"/>
      <c r="J59" s="4"/>
      <c r="K59" s="4"/>
      <c r="L59" s="4"/>
      <c r="M59" s="4"/>
      <c r="N59" s="4"/>
      <c r="O59" s="4"/>
      <c r="P59" s="4"/>
      <c r="Q59" s="4"/>
      <c r="R59" s="4"/>
      <c r="S59" s="4"/>
      <c r="T59" s="4"/>
      <c r="U59" s="4"/>
      <c r="V59" s="4"/>
    </row>
    <row r="60" spans="1:22">
      <c r="A60" s="4"/>
      <c r="B60" s="4"/>
      <c r="C60" s="4"/>
      <c r="D60" s="4"/>
      <c r="E60" s="4"/>
      <c r="F60" s="4"/>
      <c r="G60" s="4"/>
      <c r="H60" s="4"/>
      <c r="I60" s="4"/>
      <c r="J60" s="4"/>
      <c r="K60" s="4"/>
      <c r="L60" s="4"/>
      <c r="M60" s="4"/>
      <c r="N60" s="4"/>
      <c r="O60" s="4"/>
      <c r="P60" s="4"/>
      <c r="Q60" s="4"/>
      <c r="R60" s="4"/>
      <c r="S60" s="4"/>
      <c r="T60" s="4"/>
      <c r="U60" s="4"/>
      <c r="V60" s="4"/>
    </row>
    <row r="61" spans="1:22">
      <c r="A61" s="4"/>
      <c r="B61" s="4"/>
      <c r="C61" s="4"/>
      <c r="D61" s="4"/>
      <c r="E61" s="4"/>
      <c r="F61" s="4"/>
      <c r="G61" s="4"/>
      <c r="H61" s="4"/>
      <c r="I61" s="4"/>
      <c r="J61" s="4"/>
      <c r="K61" s="4"/>
      <c r="L61" s="4"/>
      <c r="M61" s="4"/>
      <c r="N61" s="4"/>
      <c r="O61" s="4"/>
      <c r="P61" s="4"/>
      <c r="Q61" s="4"/>
      <c r="R61" s="4"/>
      <c r="S61" s="4"/>
      <c r="T61" s="4"/>
      <c r="U61" s="4"/>
      <c r="V61" s="4"/>
    </row>
    <row r="62" spans="1:22">
      <c r="A62" s="4"/>
      <c r="B62" s="4"/>
      <c r="C62" s="4"/>
      <c r="D62" s="4"/>
      <c r="E62" s="4"/>
      <c r="F62" s="4"/>
      <c r="G62" s="4"/>
      <c r="H62" s="4"/>
      <c r="I62" s="4"/>
      <c r="J62" s="4"/>
      <c r="K62" s="4"/>
      <c r="L62" s="4"/>
      <c r="M62" s="4"/>
      <c r="N62" s="4"/>
      <c r="O62" s="4"/>
      <c r="P62" s="4"/>
      <c r="Q62" s="4"/>
      <c r="R62" s="4"/>
      <c r="S62" s="4"/>
      <c r="T62" s="4"/>
      <c r="U62" s="4"/>
      <c r="V62" s="4"/>
    </row>
    <row r="63" spans="1:22">
      <c r="A63" s="4"/>
      <c r="B63" s="4"/>
      <c r="C63" s="4"/>
      <c r="D63" s="4"/>
      <c r="E63" s="4"/>
      <c r="F63" s="4"/>
      <c r="G63" s="4"/>
      <c r="H63" s="4"/>
      <c r="I63" s="4"/>
      <c r="J63" s="4"/>
      <c r="K63" s="4"/>
      <c r="L63" s="4"/>
      <c r="M63" s="4"/>
      <c r="N63" s="4"/>
      <c r="O63" s="4"/>
      <c r="P63" s="4"/>
      <c r="Q63" s="4"/>
      <c r="R63" s="4"/>
      <c r="S63" s="4"/>
      <c r="T63" s="4"/>
      <c r="U63" s="4"/>
      <c r="V63" s="4"/>
    </row>
    <row r="64" spans="1:22">
      <c r="A64" s="4"/>
      <c r="B64" s="4"/>
      <c r="C64" s="4"/>
      <c r="D64" s="4"/>
      <c r="E64" s="4"/>
      <c r="F64" s="4"/>
      <c r="G64" s="4"/>
      <c r="H64" s="4"/>
      <c r="I64" s="4"/>
      <c r="J64" s="4"/>
      <c r="K64" s="4"/>
      <c r="L64" s="4"/>
      <c r="M64" s="4"/>
      <c r="N64" s="4"/>
      <c r="O64" s="4"/>
      <c r="P64" s="4"/>
      <c r="Q64" s="4"/>
      <c r="R64" s="4"/>
      <c r="S64" s="4"/>
      <c r="T64" s="4"/>
      <c r="U64" s="4"/>
      <c r="V64" s="4"/>
    </row>
    <row r="65" spans="1:22">
      <c r="A65" s="4"/>
      <c r="B65" s="4"/>
      <c r="C65" s="4"/>
      <c r="D65" s="4"/>
      <c r="E65" s="4"/>
      <c r="F65" s="4"/>
      <c r="G65" s="4"/>
      <c r="H65" s="4"/>
      <c r="I65" s="4"/>
      <c r="J65" s="4"/>
      <c r="K65" s="4"/>
      <c r="L65" s="4"/>
      <c r="M65" s="4"/>
      <c r="N65" s="4"/>
      <c r="O65" s="4"/>
      <c r="P65" s="4"/>
      <c r="Q65" s="4"/>
      <c r="R65" s="4"/>
      <c r="S65" s="4"/>
      <c r="T65" s="4"/>
      <c r="U65" s="4"/>
      <c r="V65" s="4"/>
    </row>
    <row r="66" spans="1:22">
      <c r="A66" s="4"/>
      <c r="B66" s="4"/>
      <c r="C66" s="4"/>
      <c r="D66" s="4"/>
      <c r="E66" s="4"/>
      <c r="F66" s="4"/>
      <c r="G66" s="4"/>
      <c r="H66" s="4"/>
      <c r="I66" s="4"/>
      <c r="J66" s="4"/>
      <c r="K66" s="4"/>
      <c r="L66" s="4"/>
      <c r="M66" s="4"/>
      <c r="N66" s="4"/>
      <c r="O66" s="4"/>
      <c r="P66" s="4"/>
      <c r="Q66" s="4"/>
      <c r="R66" s="4"/>
      <c r="S66" s="4"/>
      <c r="T66" s="4"/>
      <c r="U66" s="4"/>
      <c r="V66" s="4"/>
    </row>
    <row r="67" spans="1:22">
      <c r="A67" s="4"/>
      <c r="B67" s="4"/>
      <c r="C67" s="4"/>
      <c r="D67" s="4"/>
      <c r="E67" s="4"/>
      <c r="F67" s="4"/>
      <c r="G67" s="4"/>
      <c r="H67" s="4"/>
      <c r="I67" s="4"/>
      <c r="J67" s="4"/>
      <c r="K67" s="4"/>
      <c r="L67" s="4"/>
      <c r="M67" s="4"/>
      <c r="N67" s="4"/>
      <c r="O67" s="4"/>
      <c r="P67" s="4"/>
      <c r="Q67" s="4"/>
      <c r="R67" s="4"/>
      <c r="S67" s="4"/>
      <c r="T67" s="4"/>
      <c r="U67" s="4"/>
      <c r="V67" s="4"/>
    </row>
    <row r="68" spans="1:22">
      <c r="A68" s="4"/>
      <c r="B68" s="4"/>
      <c r="C68" s="4"/>
      <c r="D68" s="4"/>
      <c r="E68" s="4"/>
      <c r="F68" s="4"/>
      <c r="G68" s="4"/>
      <c r="H68" s="4"/>
      <c r="I68" s="4"/>
      <c r="J68" s="4"/>
      <c r="K68" s="4"/>
      <c r="L68" s="4"/>
      <c r="M68" s="4"/>
      <c r="N68" s="4"/>
      <c r="O68" s="4"/>
      <c r="P68" s="4"/>
      <c r="Q68" s="4"/>
      <c r="R68" s="4"/>
      <c r="S68" s="4"/>
      <c r="T68" s="4"/>
      <c r="U68" s="4"/>
      <c r="V68" s="4"/>
    </row>
    <row r="69" spans="1:22">
      <c r="A69" s="4"/>
      <c r="B69" s="4"/>
      <c r="C69" s="4"/>
      <c r="D69" s="4"/>
      <c r="E69" s="4"/>
      <c r="F69" s="4"/>
      <c r="G69" s="4"/>
      <c r="H69" s="4"/>
      <c r="I69" s="4"/>
      <c r="J69" s="4"/>
      <c r="K69" s="4"/>
      <c r="L69" s="4"/>
      <c r="M69" s="4"/>
      <c r="N69" s="4"/>
      <c r="O69" s="4"/>
      <c r="P69" s="4"/>
      <c r="Q69" s="4"/>
      <c r="R69" s="4"/>
      <c r="S69" s="4"/>
      <c r="T69" s="4"/>
      <c r="U69" s="4"/>
      <c r="V69" s="4"/>
    </row>
    <row r="70" spans="1:22">
      <c r="A70" s="4"/>
      <c r="B70" s="4"/>
      <c r="C70" s="4"/>
      <c r="D70" s="4"/>
      <c r="E70" s="4"/>
      <c r="F70" s="4"/>
      <c r="G70" s="4"/>
      <c r="H70" s="4"/>
      <c r="I70" s="4"/>
      <c r="J70" s="4"/>
      <c r="K70" s="4"/>
      <c r="L70" s="4"/>
      <c r="M70" s="4"/>
      <c r="N70" s="4"/>
      <c r="O70" s="4"/>
      <c r="P70" s="4"/>
      <c r="Q70" s="4"/>
      <c r="R70" s="4"/>
      <c r="S70" s="4"/>
      <c r="T70" s="4"/>
      <c r="U70" s="4"/>
      <c r="V70" s="4"/>
    </row>
    <row r="71" spans="1:22">
      <c r="A71" s="4"/>
      <c r="B71" s="4"/>
      <c r="C71" s="4"/>
      <c r="D71" s="4"/>
      <c r="E71" s="4"/>
      <c r="F71" s="4"/>
      <c r="G71" s="4"/>
      <c r="H71" s="4"/>
      <c r="I71" s="4"/>
      <c r="J71" s="4"/>
      <c r="K71" s="4"/>
      <c r="L71" s="4"/>
      <c r="M71" s="4"/>
      <c r="N71" s="4"/>
      <c r="O71" s="4"/>
      <c r="P71" s="4"/>
      <c r="Q71" s="4"/>
      <c r="R71" s="4"/>
      <c r="S71" s="4"/>
      <c r="T71" s="4"/>
      <c r="U71" s="4"/>
      <c r="V71" s="4"/>
    </row>
    <row r="72" spans="1:22">
      <c r="A72" s="4"/>
      <c r="B72" s="4"/>
      <c r="C72" s="4"/>
      <c r="D72" s="4"/>
      <c r="E72" s="4"/>
      <c r="F72" s="4"/>
      <c r="G72" s="4"/>
      <c r="H72" s="4"/>
      <c r="I72" s="4"/>
      <c r="J72" s="4"/>
      <c r="K72" s="4"/>
      <c r="L72" s="4"/>
      <c r="M72" s="4"/>
      <c r="N72" s="4"/>
      <c r="O72" s="4"/>
      <c r="P72" s="4"/>
      <c r="Q72" s="4"/>
      <c r="R72" s="4"/>
      <c r="S72" s="4"/>
      <c r="T72" s="4"/>
      <c r="U72" s="4"/>
      <c r="V72" s="4"/>
    </row>
    <row r="73" spans="1:22">
      <c r="A73" s="4"/>
      <c r="B73" s="4"/>
      <c r="C73" s="4"/>
      <c r="D73" s="4"/>
      <c r="E73" s="4"/>
      <c r="F73" s="4"/>
      <c r="G73" s="4"/>
      <c r="H73" s="4"/>
      <c r="I73" s="4"/>
      <c r="J73" s="4"/>
      <c r="K73" s="4"/>
      <c r="L73" s="4"/>
      <c r="M73" s="4"/>
      <c r="N73" s="4"/>
      <c r="O73" s="4"/>
      <c r="P73" s="4"/>
      <c r="Q73" s="4"/>
      <c r="R73" s="4"/>
      <c r="S73" s="4"/>
      <c r="T73" s="4"/>
      <c r="U73" s="4"/>
      <c r="V73" s="4"/>
    </row>
    <row r="74" spans="1:22">
      <c r="A74" s="4"/>
      <c r="B74" s="4"/>
      <c r="C74" s="4"/>
      <c r="D74" s="4"/>
      <c r="E74" s="4"/>
      <c r="F74" s="4"/>
      <c r="G74" s="4"/>
      <c r="H74" s="4"/>
      <c r="I74" s="4"/>
      <c r="J74" s="4"/>
      <c r="K74" s="4"/>
      <c r="L74" s="4"/>
      <c r="M74" s="4"/>
      <c r="N74" s="4"/>
      <c r="O74" s="4"/>
      <c r="P74" s="4"/>
      <c r="Q74" s="4"/>
      <c r="R74" s="4"/>
      <c r="S74" s="4"/>
      <c r="T74" s="4"/>
      <c r="U74" s="4"/>
      <c r="V74" s="4"/>
    </row>
    <row r="75" spans="1:22">
      <c r="A75" s="4"/>
      <c r="B75" s="4"/>
      <c r="C75" s="4"/>
      <c r="D75" s="4"/>
      <c r="E75" s="4"/>
      <c r="F75" s="4"/>
      <c r="G75" s="4"/>
      <c r="H75" s="4"/>
      <c r="I75" s="4"/>
      <c r="J75" s="4"/>
      <c r="K75" s="4"/>
      <c r="L75" s="4"/>
      <c r="M75" s="4"/>
      <c r="N75" s="4"/>
      <c r="O75" s="4"/>
      <c r="P75" s="4"/>
      <c r="Q75" s="4"/>
      <c r="R75" s="4"/>
      <c r="S75" s="4"/>
      <c r="T75" s="4"/>
      <c r="U75" s="4"/>
      <c r="V75" s="4"/>
    </row>
    <row r="76" spans="1:22">
      <c r="A76" s="4"/>
      <c r="B76" s="4"/>
      <c r="C76" s="4"/>
      <c r="D76" s="4"/>
      <c r="E76" s="4"/>
      <c r="F76" s="4"/>
      <c r="G76" s="4"/>
      <c r="H76" s="4"/>
      <c r="I76" s="4"/>
      <c r="J76" s="4"/>
      <c r="K76" s="4"/>
      <c r="L76" s="4"/>
      <c r="M76" s="4"/>
      <c r="N76" s="4"/>
      <c r="O76" s="4"/>
      <c r="P76" s="4"/>
      <c r="Q76" s="4"/>
      <c r="R76" s="4"/>
      <c r="S76" s="4"/>
      <c r="T76" s="4"/>
      <c r="U76" s="4"/>
      <c r="V76" s="4"/>
    </row>
    <row r="77" spans="1:22">
      <c r="A77" s="4"/>
      <c r="B77" s="4"/>
      <c r="C77" s="4"/>
      <c r="D77" s="4"/>
      <c r="E77" s="4"/>
      <c r="F77" s="4"/>
      <c r="G77" s="4"/>
      <c r="H77" s="4"/>
      <c r="I77" s="4"/>
      <c r="J77" s="4"/>
      <c r="K77" s="4"/>
      <c r="L77" s="4"/>
      <c r="M77" s="4"/>
      <c r="N77" s="4"/>
      <c r="O77" s="4"/>
      <c r="P77" s="4"/>
      <c r="Q77" s="4"/>
      <c r="R77" s="4"/>
      <c r="S77" s="4"/>
      <c r="T77" s="4"/>
      <c r="U77" s="4"/>
      <c r="V77" s="4"/>
    </row>
    <row r="78" spans="1:22">
      <c r="A78" s="4"/>
      <c r="B78" s="4"/>
      <c r="C78" s="4"/>
      <c r="D78" s="4"/>
      <c r="E78" s="4"/>
      <c r="F78" s="4"/>
      <c r="G78" s="4"/>
      <c r="H78" s="4"/>
      <c r="I78" s="4"/>
      <c r="J78" s="4"/>
      <c r="K78" s="4"/>
      <c r="L78" s="4"/>
      <c r="M78" s="4"/>
      <c r="N78" s="4"/>
      <c r="O78" s="4"/>
      <c r="P78" s="4"/>
      <c r="Q78" s="4"/>
      <c r="R78" s="4"/>
      <c r="S78" s="4"/>
      <c r="T78" s="4"/>
      <c r="U78" s="4"/>
      <c r="V78" s="4"/>
    </row>
    <row r="79" spans="1:22">
      <c r="A79" s="4"/>
      <c r="B79" s="4"/>
      <c r="C79" s="4"/>
      <c r="D79" s="4"/>
      <c r="E79" s="4"/>
      <c r="F79" s="4"/>
      <c r="G79" s="4"/>
      <c r="H79" s="4"/>
      <c r="I79" s="4"/>
      <c r="J79" s="4"/>
      <c r="K79" s="4"/>
      <c r="L79" s="4"/>
      <c r="M79" s="4"/>
      <c r="N79" s="4"/>
      <c r="O79" s="4"/>
      <c r="P79" s="4"/>
      <c r="Q79" s="4"/>
      <c r="R79" s="4"/>
      <c r="S79" s="4"/>
      <c r="T79" s="4"/>
      <c r="U79" s="4"/>
      <c r="V79" s="4"/>
    </row>
    <row r="80" spans="1:22">
      <c r="A80" s="4"/>
      <c r="B80" s="4"/>
      <c r="C80" s="4"/>
      <c r="D80" s="4"/>
      <c r="E80" s="4"/>
      <c r="F80" s="4"/>
      <c r="G80" s="4"/>
      <c r="H80" s="4"/>
      <c r="I80" s="4"/>
      <c r="J80" s="4"/>
      <c r="K80" s="4"/>
      <c r="L80" s="4"/>
      <c r="M80" s="4"/>
      <c r="N80" s="4"/>
      <c r="O80" s="4"/>
      <c r="P80" s="4"/>
      <c r="Q80" s="4"/>
      <c r="R80" s="4"/>
      <c r="S80" s="4"/>
      <c r="T80" s="4"/>
      <c r="U80" s="4"/>
      <c r="V80" s="4"/>
    </row>
    <row r="81" spans="1:22">
      <c r="A81" s="4"/>
      <c r="B81" s="4"/>
      <c r="C81" s="4"/>
      <c r="D81" s="4"/>
      <c r="E81" s="4"/>
      <c r="F81" s="4"/>
      <c r="G81" s="4"/>
      <c r="H81" s="4"/>
      <c r="I81" s="4"/>
      <c r="J81" s="4"/>
      <c r="K81" s="4"/>
      <c r="L81" s="4"/>
      <c r="M81" s="4"/>
      <c r="N81" s="4"/>
      <c r="O81" s="4"/>
      <c r="P81" s="4"/>
      <c r="Q81" s="4"/>
      <c r="R81" s="4"/>
      <c r="S81" s="4"/>
      <c r="T81" s="4"/>
      <c r="U81" s="4"/>
      <c r="V81" s="4"/>
    </row>
    <row r="82" spans="1:22">
      <c r="A82" s="4"/>
      <c r="B82" s="4"/>
      <c r="C82" s="4"/>
      <c r="D82" s="4"/>
      <c r="E82" s="4"/>
      <c r="F82" s="4"/>
      <c r="G82" s="4"/>
      <c r="H82" s="4"/>
      <c r="I82" s="4"/>
      <c r="J82" s="4"/>
      <c r="K82" s="4"/>
      <c r="L82" s="4"/>
      <c r="M82" s="4"/>
      <c r="N82" s="4"/>
      <c r="O82" s="4"/>
      <c r="P82" s="4"/>
      <c r="Q82" s="4"/>
      <c r="R82" s="4"/>
      <c r="S82" s="4"/>
      <c r="T82" s="4"/>
      <c r="U82" s="4"/>
      <c r="V82" s="4"/>
    </row>
    <row r="83" spans="1:22">
      <c r="A83" s="4"/>
      <c r="B83" s="4"/>
      <c r="C83" s="4"/>
      <c r="D83" s="4"/>
      <c r="E83" s="4"/>
      <c r="F83" s="4"/>
      <c r="G83" s="4"/>
      <c r="H83" s="4"/>
      <c r="I83" s="4"/>
      <c r="J83" s="4"/>
      <c r="K83" s="4"/>
      <c r="L83" s="4"/>
      <c r="M83" s="4"/>
      <c r="N83" s="4"/>
      <c r="O83" s="4"/>
      <c r="P83" s="4"/>
      <c r="Q83" s="4"/>
      <c r="R83" s="4"/>
      <c r="S83" s="4"/>
      <c r="T83" s="4"/>
      <c r="U83" s="4"/>
      <c r="V83" s="4"/>
    </row>
    <row r="84" spans="1:22">
      <c r="A84" s="4"/>
      <c r="B84" s="4"/>
      <c r="C84" s="4"/>
      <c r="D84" s="4"/>
      <c r="E84" s="4"/>
      <c r="F84" s="4"/>
      <c r="G84" s="4"/>
      <c r="H84" s="4"/>
      <c r="I84" s="4"/>
      <c r="J84" s="4"/>
      <c r="K84" s="4"/>
      <c r="L84" s="4"/>
      <c r="M84" s="4"/>
      <c r="N84" s="4"/>
      <c r="O84" s="4"/>
      <c r="P84" s="4"/>
      <c r="Q84" s="4"/>
      <c r="R84" s="4"/>
      <c r="S84" s="4"/>
      <c r="T84" s="4"/>
      <c r="U84" s="4"/>
      <c r="V84" s="4"/>
    </row>
    <row r="85" spans="1:22">
      <c r="A85" s="4"/>
      <c r="B85" s="4"/>
      <c r="C85" s="4"/>
      <c r="D85" s="4"/>
      <c r="E85" s="4"/>
      <c r="F85" s="4"/>
      <c r="G85" s="4"/>
      <c r="H85" s="4"/>
      <c r="I85" s="4"/>
      <c r="J85" s="4"/>
      <c r="K85" s="4"/>
      <c r="L85" s="4"/>
      <c r="M85" s="4"/>
      <c r="N85" s="4"/>
      <c r="O85" s="4"/>
      <c r="P85" s="4"/>
      <c r="Q85" s="4"/>
      <c r="R85" s="4"/>
      <c r="S85" s="4"/>
      <c r="T85" s="4"/>
      <c r="U85" s="4"/>
      <c r="V85" s="4"/>
    </row>
    <row r="86" spans="1:22">
      <c r="A86" s="4"/>
      <c r="B86" s="4"/>
      <c r="C86" s="4"/>
      <c r="D86" s="4"/>
      <c r="E86" s="4"/>
      <c r="F86" s="4"/>
      <c r="G86" s="4"/>
      <c r="H86" s="4"/>
      <c r="I86" s="4"/>
      <c r="J86" s="4"/>
      <c r="K86" s="4"/>
      <c r="L86" s="4"/>
      <c r="M86" s="4"/>
      <c r="N86" s="4"/>
      <c r="O86" s="4"/>
      <c r="P86" s="4"/>
      <c r="Q86" s="4"/>
      <c r="R86" s="4"/>
      <c r="S86" s="4"/>
      <c r="T86" s="4"/>
      <c r="U86" s="4"/>
      <c r="V86" s="4"/>
    </row>
    <row r="87" spans="1:22">
      <c r="A87" s="4"/>
      <c r="B87" s="4"/>
      <c r="C87" s="4"/>
      <c r="D87" s="4"/>
      <c r="E87" s="4"/>
      <c r="F87" s="4"/>
      <c r="G87" s="4"/>
      <c r="H87" s="4"/>
      <c r="I87" s="4"/>
      <c r="J87" s="4"/>
      <c r="K87" s="4"/>
      <c r="L87" s="4"/>
      <c r="M87" s="4"/>
      <c r="N87" s="4"/>
      <c r="O87" s="4"/>
      <c r="P87" s="4"/>
      <c r="Q87" s="4"/>
      <c r="R87" s="4"/>
      <c r="S87" s="4"/>
      <c r="T87" s="4"/>
      <c r="U87" s="4"/>
      <c r="V87" s="4"/>
    </row>
    <row r="88" spans="1:22">
      <c r="A88" s="4"/>
      <c r="B88" s="4"/>
      <c r="C88" s="4"/>
      <c r="D88" s="4"/>
      <c r="E88" s="4"/>
      <c r="F88" s="4"/>
      <c r="G88" s="4"/>
      <c r="H88" s="4"/>
      <c r="I88" s="4"/>
      <c r="J88" s="4"/>
      <c r="K88" s="4"/>
      <c r="L88" s="4"/>
      <c r="M88" s="4"/>
      <c r="N88" s="4"/>
      <c r="O88" s="4"/>
      <c r="P88" s="4"/>
      <c r="Q88" s="4"/>
      <c r="R88" s="4"/>
      <c r="S88" s="4"/>
      <c r="T88" s="4"/>
      <c r="U88" s="4"/>
      <c r="V88" s="4"/>
    </row>
    <row r="89" spans="1:22">
      <c r="A89" s="4"/>
      <c r="B89" s="4"/>
      <c r="C89" s="4"/>
      <c r="D89" s="4"/>
      <c r="E89" s="4"/>
      <c r="F89" s="4"/>
      <c r="G89" s="4"/>
      <c r="H89" s="4"/>
      <c r="I89" s="4"/>
      <c r="J89" s="4"/>
      <c r="K89" s="4"/>
      <c r="L89" s="4"/>
      <c r="M89" s="4"/>
      <c r="N89" s="4"/>
      <c r="O89" s="4"/>
      <c r="P89" s="4"/>
      <c r="Q89" s="4"/>
      <c r="R89" s="4"/>
      <c r="S89" s="4"/>
      <c r="T89" s="4"/>
      <c r="U89" s="4"/>
      <c r="V89" s="4"/>
    </row>
    <row r="90" spans="1:22">
      <c r="A90" s="4"/>
      <c r="B90" s="4"/>
      <c r="C90" s="4"/>
      <c r="D90" s="4"/>
      <c r="E90" s="4"/>
      <c r="F90" s="4"/>
      <c r="G90" s="4"/>
      <c r="H90" s="4"/>
      <c r="I90" s="4"/>
      <c r="J90" s="4"/>
      <c r="K90" s="4"/>
      <c r="L90" s="4"/>
      <c r="M90" s="4"/>
      <c r="N90" s="4"/>
      <c r="O90" s="4"/>
      <c r="P90" s="4"/>
      <c r="Q90" s="4"/>
      <c r="R90" s="4"/>
      <c r="S90" s="4"/>
      <c r="T90" s="4"/>
      <c r="U90" s="4"/>
      <c r="V90" s="4"/>
    </row>
    <row r="91" spans="1:22">
      <c r="A91" s="4"/>
      <c r="B91" s="4"/>
      <c r="C91" s="4"/>
      <c r="D91" s="4"/>
      <c r="E91" s="4"/>
      <c r="F91" s="4"/>
      <c r="G91" s="4"/>
      <c r="H91" s="4"/>
      <c r="I91" s="4"/>
      <c r="J91" s="4"/>
      <c r="K91" s="4"/>
      <c r="L91" s="4"/>
      <c r="M91" s="4"/>
      <c r="N91" s="4"/>
      <c r="O91" s="4"/>
      <c r="P91" s="4"/>
      <c r="Q91" s="4"/>
      <c r="R91" s="4"/>
      <c r="S91" s="4"/>
      <c r="T91" s="4"/>
      <c r="U91" s="4"/>
      <c r="V91" s="4"/>
    </row>
    <row r="92" spans="1:22">
      <c r="A92" s="4"/>
      <c r="B92" s="4"/>
      <c r="C92" s="4"/>
      <c r="D92" s="4"/>
      <c r="E92" s="4"/>
      <c r="F92" s="4"/>
      <c r="G92" s="4"/>
      <c r="H92" s="4"/>
      <c r="I92" s="4"/>
      <c r="J92" s="4"/>
      <c r="K92" s="4"/>
      <c r="L92" s="4"/>
      <c r="M92" s="4"/>
      <c r="N92" s="4"/>
      <c r="O92" s="4"/>
      <c r="P92" s="4"/>
      <c r="Q92" s="4"/>
      <c r="R92" s="4"/>
      <c r="S92" s="4"/>
      <c r="T92" s="4"/>
      <c r="U92" s="4"/>
      <c r="V92" s="4"/>
    </row>
    <row r="93" spans="1:22">
      <c r="A93" s="4"/>
      <c r="B93" s="4"/>
      <c r="C93" s="4"/>
      <c r="D93" s="4"/>
      <c r="E93" s="4"/>
      <c r="F93" s="4"/>
      <c r="G93" s="4"/>
      <c r="H93" s="4"/>
      <c r="I93" s="4"/>
      <c r="J93" s="4"/>
      <c r="K93" s="4"/>
      <c r="L93" s="4"/>
      <c r="M93" s="4"/>
      <c r="N93" s="4"/>
      <c r="O93" s="4"/>
      <c r="P93" s="4"/>
      <c r="Q93" s="4"/>
      <c r="R93" s="4"/>
      <c r="S93" s="4"/>
      <c r="T93" s="4"/>
      <c r="U93" s="4"/>
      <c r="V93" s="4"/>
    </row>
    <row r="94" spans="1:22">
      <c r="A94" s="4"/>
      <c r="B94" s="4"/>
      <c r="C94" s="4"/>
      <c r="D94" s="4"/>
      <c r="E94" s="4"/>
      <c r="F94" s="4"/>
      <c r="G94" s="4"/>
      <c r="H94" s="4"/>
      <c r="I94" s="4"/>
      <c r="J94" s="4"/>
      <c r="K94" s="4"/>
      <c r="L94" s="4"/>
      <c r="M94" s="4"/>
      <c r="N94" s="4"/>
      <c r="O94" s="4"/>
      <c r="P94" s="4"/>
      <c r="Q94" s="4"/>
      <c r="R94" s="4"/>
      <c r="S94" s="4"/>
      <c r="T94" s="4"/>
      <c r="U94" s="4"/>
      <c r="V94" s="4"/>
    </row>
    <row r="95" spans="1:22">
      <c r="A95" s="4"/>
      <c r="B95" s="4"/>
      <c r="C95" s="4"/>
      <c r="D95" s="4"/>
      <c r="E95" s="4"/>
      <c r="F95" s="4"/>
      <c r="G95" s="4"/>
      <c r="H95" s="4"/>
      <c r="I95" s="4"/>
      <c r="J95" s="4"/>
      <c r="K95" s="4"/>
      <c r="L95" s="4"/>
      <c r="M95" s="4"/>
      <c r="N95" s="4"/>
      <c r="O95" s="4"/>
      <c r="P95" s="4"/>
      <c r="Q95" s="4"/>
      <c r="R95" s="4"/>
      <c r="S95" s="4"/>
      <c r="T95" s="4"/>
      <c r="U95" s="4"/>
      <c r="V95" s="4"/>
    </row>
    <row r="96" spans="1:22">
      <c r="A96" s="4"/>
      <c r="B96" s="4"/>
      <c r="C96" s="4"/>
      <c r="D96" s="4"/>
      <c r="E96" s="4"/>
      <c r="F96" s="4"/>
      <c r="G96" s="4"/>
      <c r="H96" s="4"/>
      <c r="I96" s="4"/>
      <c r="J96" s="4"/>
      <c r="K96" s="4"/>
      <c r="L96" s="4"/>
      <c r="M96" s="4"/>
      <c r="N96" s="4"/>
      <c r="O96" s="4"/>
      <c r="P96" s="4"/>
      <c r="Q96" s="4"/>
      <c r="R96" s="4"/>
      <c r="S96" s="4"/>
      <c r="T96" s="4"/>
      <c r="U96" s="4"/>
      <c r="V96" s="4"/>
    </row>
    <row r="97" spans="1:22">
      <c r="A97" s="4"/>
      <c r="B97" s="4"/>
      <c r="C97" s="4"/>
      <c r="D97" s="4"/>
      <c r="E97" s="4"/>
      <c r="F97" s="4"/>
      <c r="G97" s="4"/>
      <c r="H97" s="4"/>
      <c r="I97" s="4"/>
      <c r="J97" s="4"/>
      <c r="K97" s="4"/>
      <c r="L97" s="4"/>
      <c r="M97" s="4"/>
      <c r="N97" s="4"/>
      <c r="O97" s="4"/>
      <c r="P97" s="4"/>
      <c r="Q97" s="4"/>
      <c r="R97" s="4"/>
      <c r="S97" s="4"/>
      <c r="T97" s="4"/>
      <c r="U97" s="4"/>
      <c r="V97" s="4"/>
    </row>
    <row r="98" spans="1:22">
      <c r="A98" s="4"/>
      <c r="B98" s="4"/>
      <c r="C98" s="4"/>
      <c r="D98" s="4"/>
      <c r="E98" s="4"/>
      <c r="F98" s="4"/>
      <c r="G98" s="4"/>
      <c r="H98" s="4"/>
      <c r="I98" s="4"/>
      <c r="J98" s="4"/>
      <c r="K98" s="4"/>
      <c r="L98" s="4"/>
      <c r="M98" s="4"/>
      <c r="N98" s="4"/>
      <c r="O98" s="4"/>
      <c r="P98" s="4"/>
      <c r="Q98" s="4"/>
      <c r="R98" s="4"/>
      <c r="S98" s="4"/>
      <c r="T98" s="4"/>
      <c r="U98" s="4"/>
      <c r="V98" s="4"/>
    </row>
    <row r="99" spans="1:22">
      <c r="A99" s="4"/>
      <c r="B99" s="4"/>
      <c r="C99" s="4"/>
      <c r="D99" s="4"/>
      <c r="E99" s="4"/>
      <c r="F99" s="4"/>
      <c r="G99" s="4"/>
      <c r="H99" s="4"/>
      <c r="I99" s="4"/>
      <c r="J99" s="4"/>
      <c r="K99" s="4"/>
      <c r="L99" s="4"/>
      <c r="M99" s="4"/>
      <c r="N99" s="4"/>
      <c r="O99" s="4"/>
      <c r="P99" s="4"/>
      <c r="Q99" s="4"/>
      <c r="R99" s="4"/>
      <c r="S99" s="4"/>
      <c r="T99" s="4"/>
      <c r="U99" s="4"/>
      <c r="V99" s="4"/>
    </row>
    <row r="100" spans="1:22">
      <c r="A100" s="4"/>
      <c r="B100" s="4"/>
      <c r="C100" s="4"/>
      <c r="D100" s="4"/>
      <c r="E100" s="4"/>
      <c r="F100" s="4"/>
      <c r="G100" s="4"/>
      <c r="H100" s="4"/>
      <c r="I100" s="4"/>
      <c r="J100" s="4"/>
      <c r="K100" s="4"/>
      <c r="L100" s="4"/>
      <c r="M100" s="4"/>
      <c r="N100" s="4"/>
      <c r="O100" s="4"/>
      <c r="P100" s="4"/>
      <c r="Q100" s="4"/>
      <c r="R100" s="4"/>
      <c r="S100" s="4"/>
      <c r="T100" s="4"/>
      <c r="U100" s="4"/>
      <c r="V100" s="4"/>
    </row>
    <row r="101" spans="1:22">
      <c r="A101" s="4"/>
      <c r="B101" s="4"/>
      <c r="C101" s="4"/>
      <c r="D101" s="4"/>
      <c r="E101" s="4"/>
      <c r="F101" s="4"/>
      <c r="G101" s="4"/>
      <c r="H101" s="4"/>
      <c r="I101" s="4"/>
      <c r="J101" s="4"/>
      <c r="K101" s="4"/>
      <c r="L101" s="4"/>
      <c r="M101" s="4"/>
      <c r="N101" s="4"/>
      <c r="O101" s="4"/>
      <c r="P101" s="4"/>
      <c r="Q101" s="4"/>
      <c r="R101" s="4"/>
      <c r="S101" s="4"/>
      <c r="T101" s="4"/>
      <c r="U101" s="4"/>
      <c r="V101" s="4"/>
    </row>
    <row r="102" spans="1:22">
      <c r="A102" s="4"/>
      <c r="B102" s="4"/>
      <c r="C102" s="4"/>
      <c r="D102" s="4"/>
      <c r="E102" s="4"/>
      <c r="F102" s="4"/>
      <c r="G102" s="4"/>
      <c r="H102" s="4"/>
      <c r="I102" s="4"/>
      <c r="J102" s="4"/>
      <c r="K102" s="4"/>
      <c r="L102" s="4"/>
      <c r="M102" s="4"/>
      <c r="N102" s="4"/>
      <c r="O102" s="4"/>
      <c r="P102" s="4"/>
      <c r="Q102" s="4"/>
      <c r="R102" s="4"/>
      <c r="S102" s="4"/>
      <c r="T102" s="4"/>
      <c r="U102" s="4"/>
      <c r="V102" s="4"/>
    </row>
    <row r="103" spans="1:22">
      <c r="A103" s="4"/>
      <c r="B103" s="4"/>
      <c r="C103" s="4"/>
      <c r="D103" s="4"/>
      <c r="E103" s="4"/>
      <c r="F103" s="4"/>
      <c r="G103" s="4"/>
      <c r="H103" s="4"/>
      <c r="I103" s="4"/>
      <c r="J103" s="4"/>
      <c r="K103" s="4"/>
      <c r="L103" s="4"/>
      <c r="M103" s="4"/>
      <c r="N103" s="4"/>
      <c r="O103" s="4"/>
      <c r="P103" s="4"/>
      <c r="Q103" s="4"/>
      <c r="R103" s="4"/>
      <c r="S103" s="4"/>
      <c r="T103" s="4"/>
      <c r="U103" s="4"/>
      <c r="V103" s="4"/>
    </row>
    <row r="104" spans="1:22">
      <c r="A104" s="4"/>
      <c r="B104" s="4"/>
      <c r="C104" s="4"/>
      <c r="D104" s="4"/>
      <c r="E104" s="4"/>
      <c r="F104" s="4"/>
      <c r="G104" s="4"/>
      <c r="H104" s="4"/>
      <c r="I104" s="4"/>
      <c r="J104" s="4"/>
      <c r="K104" s="4"/>
      <c r="L104" s="4"/>
      <c r="M104" s="4"/>
      <c r="N104" s="4"/>
      <c r="O104" s="4"/>
      <c r="P104" s="4"/>
      <c r="Q104" s="4"/>
      <c r="R104" s="4"/>
      <c r="S104" s="4"/>
      <c r="T104" s="4"/>
      <c r="U104" s="4"/>
      <c r="V104" s="4"/>
    </row>
    <row r="105" spans="1:22">
      <c r="A105" s="4"/>
      <c r="B105" s="4"/>
      <c r="C105" s="4"/>
      <c r="D105" s="4"/>
      <c r="E105" s="4"/>
      <c r="F105" s="4"/>
      <c r="G105" s="4"/>
      <c r="H105" s="4"/>
      <c r="I105" s="4"/>
      <c r="J105" s="4"/>
      <c r="K105" s="4"/>
      <c r="L105" s="4"/>
      <c r="M105" s="4"/>
      <c r="N105" s="4"/>
      <c r="O105" s="4"/>
      <c r="P105" s="4"/>
      <c r="Q105" s="4"/>
      <c r="R105" s="4"/>
      <c r="S105" s="4"/>
      <c r="T105" s="4"/>
      <c r="U105" s="4"/>
      <c r="V105" s="4"/>
    </row>
    <row r="106" spans="1:22">
      <c r="A106" s="4"/>
      <c r="B106" s="4"/>
      <c r="C106" s="4"/>
      <c r="D106" s="4"/>
      <c r="E106" s="4"/>
      <c r="F106" s="4"/>
      <c r="G106" s="4"/>
      <c r="H106" s="4"/>
      <c r="I106" s="4"/>
      <c r="J106" s="4"/>
      <c r="K106" s="4"/>
      <c r="L106" s="4"/>
      <c r="M106" s="4"/>
      <c r="N106" s="4"/>
      <c r="O106" s="4"/>
      <c r="P106" s="4"/>
      <c r="Q106" s="4"/>
      <c r="R106" s="4"/>
      <c r="S106" s="4"/>
      <c r="T106" s="4"/>
      <c r="U106" s="4"/>
      <c r="V106" s="4"/>
    </row>
    <row r="107" spans="1:22">
      <c r="A107" s="4"/>
      <c r="B107" s="4"/>
      <c r="C107" s="4"/>
      <c r="D107" s="4"/>
      <c r="E107" s="4"/>
      <c r="F107" s="4"/>
      <c r="G107" s="4"/>
      <c r="H107" s="4"/>
      <c r="I107" s="4"/>
      <c r="J107" s="4"/>
      <c r="K107" s="4"/>
      <c r="L107" s="4"/>
      <c r="M107" s="4"/>
      <c r="N107" s="4"/>
      <c r="O107" s="4"/>
      <c r="P107" s="4"/>
      <c r="Q107" s="4"/>
      <c r="R107" s="4"/>
      <c r="S107" s="4"/>
      <c r="T107" s="4"/>
      <c r="U107" s="4"/>
      <c r="V107" s="4"/>
    </row>
    <row r="108" spans="1:22">
      <c r="A108" s="4"/>
      <c r="B108" s="4"/>
      <c r="C108" s="4"/>
      <c r="D108" s="4"/>
      <c r="E108" s="4"/>
      <c r="F108" s="4"/>
      <c r="G108" s="4"/>
      <c r="H108" s="4"/>
      <c r="I108" s="4"/>
      <c r="J108" s="4"/>
      <c r="K108" s="4"/>
      <c r="L108" s="4"/>
      <c r="M108" s="4"/>
      <c r="N108" s="4"/>
      <c r="O108" s="4"/>
      <c r="P108" s="4"/>
      <c r="Q108" s="4"/>
      <c r="R108" s="4"/>
      <c r="S108" s="4"/>
      <c r="T108" s="4"/>
      <c r="U108" s="4"/>
      <c r="V108" s="4"/>
    </row>
    <row r="109" spans="1:22">
      <c r="A109" s="4"/>
      <c r="B109" s="4"/>
      <c r="C109" s="4"/>
      <c r="D109" s="4"/>
      <c r="E109" s="4"/>
      <c r="F109" s="4"/>
      <c r="G109" s="4"/>
      <c r="H109" s="4"/>
      <c r="I109" s="4"/>
      <c r="J109" s="4"/>
      <c r="K109" s="4"/>
      <c r="L109" s="4"/>
      <c r="M109" s="4"/>
      <c r="N109" s="4"/>
      <c r="O109" s="4"/>
      <c r="P109" s="4"/>
      <c r="Q109" s="4"/>
      <c r="R109" s="4"/>
      <c r="S109" s="4"/>
      <c r="T109" s="4"/>
      <c r="U109" s="4"/>
      <c r="V109" s="4"/>
    </row>
    <row r="110" spans="1:22">
      <c r="A110" s="4"/>
      <c r="B110" s="4"/>
      <c r="C110" s="4"/>
      <c r="D110" s="4"/>
      <c r="E110" s="4"/>
      <c r="F110" s="4"/>
      <c r="G110" s="4"/>
      <c r="H110" s="4"/>
      <c r="I110" s="4"/>
      <c r="J110" s="4"/>
      <c r="K110" s="4"/>
      <c r="L110" s="4"/>
      <c r="M110" s="4"/>
      <c r="N110" s="4"/>
      <c r="O110" s="4"/>
      <c r="P110" s="4"/>
      <c r="Q110" s="4"/>
      <c r="R110" s="4"/>
      <c r="S110" s="4"/>
      <c r="T110" s="4"/>
      <c r="U110" s="4"/>
      <c r="V110" s="4"/>
    </row>
    <row r="111" spans="1:22">
      <c r="A111" s="4"/>
      <c r="B111" s="4"/>
      <c r="C111" s="4"/>
      <c r="D111" s="4"/>
      <c r="E111" s="4"/>
      <c r="F111" s="4"/>
      <c r="G111" s="4"/>
      <c r="H111" s="4"/>
      <c r="I111" s="4"/>
      <c r="J111" s="4"/>
      <c r="K111" s="4"/>
      <c r="L111" s="4"/>
      <c r="M111" s="4"/>
      <c r="N111" s="4"/>
      <c r="O111" s="4"/>
      <c r="P111" s="4"/>
      <c r="Q111" s="4"/>
      <c r="R111" s="4"/>
      <c r="S111" s="4"/>
      <c r="T111" s="4"/>
      <c r="U111" s="4"/>
      <c r="V111" s="4"/>
    </row>
    <row r="112" spans="1:22">
      <c r="A112" s="4"/>
      <c r="B112" s="4"/>
      <c r="C112" s="4"/>
      <c r="D112" s="4"/>
      <c r="E112" s="4"/>
      <c r="F112" s="4"/>
      <c r="G112" s="4"/>
      <c r="H112" s="4"/>
      <c r="I112" s="4"/>
      <c r="J112" s="4"/>
      <c r="K112" s="4"/>
      <c r="L112" s="4"/>
      <c r="M112" s="4"/>
      <c r="N112" s="4"/>
      <c r="O112" s="4"/>
      <c r="P112" s="4"/>
      <c r="Q112" s="4"/>
      <c r="R112" s="4"/>
      <c r="S112" s="4"/>
      <c r="T112" s="4"/>
      <c r="U112" s="4"/>
      <c r="V112" s="4"/>
    </row>
    <row r="113" spans="1:22">
      <c r="A113" s="4"/>
      <c r="B113" s="4"/>
      <c r="C113" s="4"/>
      <c r="D113" s="4"/>
      <c r="E113" s="4"/>
      <c r="F113" s="4"/>
      <c r="G113" s="4"/>
      <c r="H113" s="4"/>
      <c r="I113" s="4"/>
      <c r="J113" s="4"/>
      <c r="K113" s="4"/>
      <c r="L113" s="4"/>
      <c r="M113" s="4"/>
      <c r="N113" s="4"/>
      <c r="O113" s="4"/>
      <c r="P113" s="4"/>
      <c r="Q113" s="4"/>
      <c r="R113" s="4"/>
      <c r="S113" s="4"/>
      <c r="T113" s="4"/>
      <c r="U113" s="4"/>
      <c r="V113" s="4"/>
    </row>
  </sheetData>
  <mergeCells count="35">
    <mergeCell ref="S7:U9"/>
    <mergeCell ref="S34:U36"/>
    <mergeCell ref="S38:U40"/>
    <mergeCell ref="S18:U20"/>
    <mergeCell ref="O27:O30"/>
    <mergeCell ref="O32:O35"/>
    <mergeCell ref="O37:O40"/>
    <mergeCell ref="P28:Q29"/>
    <mergeCell ref="P33:Q34"/>
    <mergeCell ref="P38:Q39"/>
    <mergeCell ref="J20:M22"/>
    <mergeCell ref="B24:D42"/>
    <mergeCell ref="E35:H42"/>
    <mergeCell ref="I24:M42"/>
    <mergeCell ref="E24:H24"/>
    <mergeCell ref="E25:H27"/>
    <mergeCell ref="E28:H29"/>
    <mergeCell ref="E30:H32"/>
    <mergeCell ref="E33:H34"/>
    <mergeCell ref="N24:Q24"/>
    <mergeCell ref="N25:Q26"/>
    <mergeCell ref="O19:P22"/>
    <mergeCell ref="N4:Q5"/>
    <mergeCell ref="B6:H22"/>
    <mergeCell ref="K11:L18"/>
    <mergeCell ref="B2:H4"/>
    <mergeCell ref="J2:K5"/>
    <mergeCell ref="L2:M5"/>
    <mergeCell ref="N2:Q3"/>
    <mergeCell ref="O11:P18"/>
    <mergeCell ref="O9:P9"/>
    <mergeCell ref="K7:L8"/>
    <mergeCell ref="K9:L10"/>
    <mergeCell ref="O10:P10"/>
    <mergeCell ref="O7:P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ighest_Salary" altText="Click Here for Highest Data Analyst Salary!">
                <anchor moveWithCells="1" sizeWithCells="1">
                  <from>
                    <xdr:col>9</xdr:col>
                    <xdr:colOff>50800</xdr:colOff>
                    <xdr:row>1</xdr:row>
                    <xdr:rowOff>38100</xdr:rowOff>
                  </from>
                  <to>
                    <xdr:col>10</xdr:col>
                    <xdr:colOff>774700</xdr:colOff>
                    <xdr:row>4</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Lowest_Salary">
                <anchor moveWithCells="1" sizeWithCells="1">
                  <from>
                    <xdr:col>11</xdr:col>
                    <xdr:colOff>38100</xdr:colOff>
                    <xdr:row>1</xdr:row>
                    <xdr:rowOff>50800</xdr:rowOff>
                  </from>
                  <to>
                    <xdr:col>12</xdr:col>
                    <xdr:colOff>800100</xdr:colOff>
                    <xdr:row>4</xdr:row>
                    <xdr:rowOff>152400</xdr:rowOff>
                  </to>
                </anchor>
              </controlPr>
            </control>
          </mc:Choice>
        </mc:AlternateContent>
        <mc:AlternateContent xmlns:mc="http://schemas.openxmlformats.org/markup-compatibility/2006">
          <mc:Choice Requires="x14">
            <control shapeId="2053" r:id="rId6" name="Button 5">
              <controlPr defaultSize="0" print="0" autoFill="0" autoPict="0" macro="[0]!FromDashboardToHomePage">
                <anchor moveWithCells="1" sizeWithCells="1">
                  <from>
                    <xdr:col>18</xdr:col>
                    <xdr:colOff>215900</xdr:colOff>
                    <xdr:row>2</xdr:row>
                    <xdr:rowOff>12700</xdr:rowOff>
                  </from>
                  <to>
                    <xdr:col>20</xdr:col>
                    <xdr:colOff>647700</xdr:colOff>
                    <xdr:row>15</xdr:row>
                    <xdr:rowOff>0</xdr:rowOff>
                  </to>
                </anchor>
              </controlPr>
            </control>
          </mc:Choice>
        </mc:AlternateContent>
        <mc:AlternateContent xmlns:mc="http://schemas.openxmlformats.org/markup-compatibility/2006">
          <mc:Choice Requires="x14">
            <control shapeId="2054" r:id="rId7" name="Button 6">
              <controlPr defaultSize="0" print="0" autoFill="0" autoPict="0" macro="[0]!FromDashboardToInformation">
                <anchor moveWithCells="1" sizeWithCells="1">
                  <from>
                    <xdr:col>18</xdr:col>
                    <xdr:colOff>228600</xdr:colOff>
                    <xdr:row>23</xdr:row>
                    <xdr:rowOff>177800</xdr:rowOff>
                  </from>
                  <to>
                    <xdr:col>20</xdr:col>
                    <xdr:colOff>647700</xdr:colOff>
                    <xdr:row>36</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Curious?" prompt="Pick a city for some stats!" xr:uid="{83B3A244-F344-4A16-9630-3BD72B0EA922}">
          <x14:formula1>
            <xm:f>'Quality of Life Data'!$A$42:$A$51</xm:f>
          </x14:formula1>
          <xm:sqref>K7:L8</xm:sqref>
        </x14:dataValidation>
      </x14:dataValidation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7E1D6-25F8-48E2-99CB-2D8957ED1B37}">
  <sheetPr codeName="Sheet2"/>
  <dimension ref="A1:G39"/>
  <sheetViews>
    <sheetView zoomScaleNormal="100" workbookViewId="0">
      <selection activeCell="J1" sqref="J1"/>
    </sheetView>
  </sheetViews>
  <sheetFormatPr baseColWidth="10" defaultColWidth="8.6640625" defaultRowHeight="16"/>
  <cols>
    <col min="2" max="2" width="100.5" bestFit="1" customWidth="1"/>
  </cols>
  <sheetData>
    <row r="1" spans="1:7" ht="17" thickBot="1">
      <c r="A1" s="4"/>
      <c r="B1" s="4"/>
      <c r="C1" s="4"/>
      <c r="D1" s="4"/>
      <c r="E1" s="4"/>
      <c r="F1" s="4"/>
      <c r="G1" s="4"/>
    </row>
    <row r="2" spans="1:7" ht="24">
      <c r="A2" s="4"/>
      <c r="B2" s="183" t="s">
        <v>964</v>
      </c>
      <c r="C2" s="4"/>
      <c r="D2" s="5"/>
      <c r="E2" s="21"/>
      <c r="F2" s="6"/>
      <c r="G2" s="4"/>
    </row>
    <row r="3" spans="1:7">
      <c r="A3" s="4"/>
      <c r="B3" s="180" t="s">
        <v>953</v>
      </c>
      <c r="C3" s="4"/>
      <c r="D3" s="7"/>
      <c r="E3" s="182"/>
      <c r="F3" s="8"/>
      <c r="G3" s="4"/>
    </row>
    <row r="4" spans="1:7">
      <c r="A4" s="4"/>
      <c r="B4" s="178" t="s">
        <v>954</v>
      </c>
      <c r="C4" s="4"/>
      <c r="D4" s="7"/>
      <c r="E4" s="182"/>
      <c r="F4" s="8"/>
      <c r="G4" s="4"/>
    </row>
    <row r="5" spans="1:7">
      <c r="A5" s="4"/>
      <c r="B5" s="179"/>
      <c r="C5" s="4"/>
      <c r="D5" s="7"/>
      <c r="E5" s="182"/>
      <c r="F5" s="8"/>
      <c r="G5" s="4"/>
    </row>
    <row r="6" spans="1:7">
      <c r="A6" s="4"/>
      <c r="B6" s="180" t="s">
        <v>942</v>
      </c>
      <c r="C6" s="4"/>
      <c r="D6" s="177" t="s">
        <v>962</v>
      </c>
      <c r="E6" s="172"/>
      <c r="F6" s="173"/>
      <c r="G6" s="4"/>
    </row>
    <row r="7" spans="1:7">
      <c r="A7" s="4"/>
      <c r="B7" s="178" t="s">
        <v>943</v>
      </c>
      <c r="C7" s="4"/>
      <c r="D7" s="171"/>
      <c r="E7" s="172"/>
      <c r="F7" s="173"/>
      <c r="G7" s="4"/>
    </row>
    <row r="8" spans="1:7" ht="17" thickBot="1">
      <c r="A8" s="4"/>
      <c r="B8" s="179"/>
      <c r="C8" s="4"/>
      <c r="D8" s="174"/>
      <c r="E8" s="175"/>
      <c r="F8" s="176"/>
      <c r="G8" s="4"/>
    </row>
    <row r="9" spans="1:7">
      <c r="A9" s="4"/>
      <c r="B9" s="180" t="s">
        <v>944</v>
      </c>
      <c r="C9" s="4"/>
      <c r="D9" s="4"/>
      <c r="E9" s="4"/>
      <c r="F9" s="4"/>
      <c r="G9" s="4"/>
    </row>
    <row r="10" spans="1:7">
      <c r="A10" s="4"/>
      <c r="B10" s="178" t="s">
        <v>945</v>
      </c>
      <c r="C10" s="4"/>
      <c r="D10" s="4"/>
      <c r="E10" s="4"/>
      <c r="F10" s="4"/>
      <c r="G10" s="4"/>
    </row>
    <row r="11" spans="1:7">
      <c r="A11" s="4"/>
      <c r="B11" s="178" t="s">
        <v>946</v>
      </c>
      <c r="C11" s="4"/>
      <c r="D11" s="4"/>
      <c r="E11" s="4"/>
      <c r="F11" s="4"/>
      <c r="G11" s="4"/>
    </row>
    <row r="12" spans="1:7">
      <c r="A12" s="4"/>
      <c r="B12" s="179"/>
      <c r="C12" s="4"/>
      <c r="D12" s="4"/>
      <c r="E12" s="4"/>
      <c r="F12" s="4"/>
      <c r="G12" s="4"/>
    </row>
    <row r="13" spans="1:7" ht="17" thickBot="1">
      <c r="A13" s="4"/>
      <c r="B13" s="178" t="s">
        <v>947</v>
      </c>
      <c r="C13" s="4"/>
      <c r="D13" s="4"/>
      <c r="E13" s="4"/>
      <c r="F13" s="4"/>
      <c r="G13" s="4"/>
    </row>
    <row r="14" spans="1:7">
      <c r="A14" s="4"/>
      <c r="B14" s="179"/>
      <c r="C14" s="4"/>
      <c r="D14" s="5"/>
      <c r="E14" s="21"/>
      <c r="F14" s="6"/>
      <c r="G14" s="4"/>
    </row>
    <row r="15" spans="1:7">
      <c r="A15" s="4"/>
      <c r="B15" s="180" t="s">
        <v>948</v>
      </c>
      <c r="C15" s="4"/>
      <c r="D15" s="7"/>
      <c r="E15" s="182"/>
      <c r="F15" s="8"/>
      <c r="G15" s="4"/>
    </row>
    <row r="16" spans="1:7">
      <c r="A16" s="4"/>
      <c r="B16" s="178" t="s">
        <v>949</v>
      </c>
      <c r="C16" s="4"/>
      <c r="D16" s="7"/>
      <c r="E16" s="182"/>
      <c r="F16" s="8"/>
      <c r="G16" s="4"/>
    </row>
    <row r="17" spans="1:7">
      <c r="A17" s="4"/>
      <c r="B17" s="179"/>
      <c r="C17" s="4"/>
      <c r="D17" s="7"/>
      <c r="E17" s="182"/>
      <c r="F17" s="8"/>
      <c r="G17" s="4"/>
    </row>
    <row r="18" spans="1:7">
      <c r="A18" s="4"/>
      <c r="B18" s="180" t="s">
        <v>950</v>
      </c>
      <c r="C18" s="4"/>
      <c r="D18" s="7"/>
      <c r="E18" s="182"/>
      <c r="F18" s="8"/>
      <c r="G18" s="4"/>
    </row>
    <row r="19" spans="1:7">
      <c r="A19" s="4"/>
      <c r="B19" s="178" t="s">
        <v>951</v>
      </c>
      <c r="C19" s="4"/>
      <c r="D19" s="177" t="s">
        <v>965</v>
      </c>
      <c r="E19" s="172"/>
      <c r="F19" s="173"/>
      <c r="G19" s="4"/>
    </row>
    <row r="20" spans="1:7">
      <c r="A20" s="4"/>
      <c r="B20" s="178" t="s">
        <v>952</v>
      </c>
      <c r="C20" s="4"/>
      <c r="D20" s="171"/>
      <c r="E20" s="172"/>
      <c r="F20" s="173"/>
      <c r="G20" s="4"/>
    </row>
    <row r="21" spans="1:7" ht="17" thickBot="1">
      <c r="A21" s="4"/>
      <c r="B21" s="181"/>
      <c r="C21" s="4"/>
      <c r="D21" s="174"/>
      <c r="E21" s="175"/>
      <c r="F21" s="176"/>
      <c r="G21" s="4"/>
    </row>
    <row r="22" spans="1:7">
      <c r="A22" s="4"/>
      <c r="B22" s="4"/>
      <c r="C22" s="4"/>
      <c r="D22" s="4"/>
      <c r="E22" s="4"/>
      <c r="F22" s="4"/>
      <c r="G22" s="4"/>
    </row>
    <row r="23" spans="1:7">
      <c r="A23" s="4"/>
      <c r="B23" s="4"/>
      <c r="C23" s="4"/>
      <c r="D23" s="4"/>
      <c r="E23" s="4"/>
      <c r="F23" s="4"/>
      <c r="G23" s="4"/>
    </row>
    <row r="24" spans="1:7" ht="24">
      <c r="A24" s="4"/>
      <c r="B24" s="206"/>
      <c r="C24" s="205"/>
      <c r="D24" s="205"/>
      <c r="E24" s="205"/>
      <c r="F24" s="205"/>
      <c r="G24" s="4"/>
    </row>
    <row r="25" spans="1:7">
      <c r="A25" s="4"/>
      <c r="B25" s="207"/>
      <c r="C25" s="205"/>
      <c r="D25" s="205"/>
      <c r="E25" s="205"/>
      <c r="F25" s="205"/>
      <c r="G25" s="4"/>
    </row>
    <row r="26" spans="1:7">
      <c r="A26" s="4"/>
      <c r="B26" s="208"/>
      <c r="C26" s="205"/>
      <c r="D26" s="205"/>
      <c r="E26" s="205"/>
      <c r="F26" s="205"/>
      <c r="G26" s="4"/>
    </row>
    <row r="27" spans="1:7">
      <c r="A27" s="4"/>
      <c r="B27" s="205"/>
      <c r="C27" s="205"/>
      <c r="D27" s="205"/>
      <c r="E27" s="205"/>
      <c r="F27" s="205"/>
      <c r="G27" s="4"/>
    </row>
    <row r="28" spans="1:7">
      <c r="A28" s="4"/>
      <c r="B28" s="205"/>
      <c r="C28" s="205"/>
      <c r="D28" s="205"/>
      <c r="E28" s="205"/>
      <c r="F28" s="205"/>
      <c r="G28" s="4"/>
    </row>
    <row r="29" spans="1:7">
      <c r="A29" s="4"/>
      <c r="B29" s="4"/>
      <c r="C29" s="4"/>
      <c r="D29" s="4"/>
      <c r="E29" s="4"/>
      <c r="F29" s="4"/>
      <c r="G29" s="4"/>
    </row>
    <row r="30" spans="1:7">
      <c r="A30" s="4"/>
      <c r="B30" s="4"/>
      <c r="C30" s="4"/>
      <c r="D30" s="4"/>
      <c r="E30" s="4"/>
      <c r="F30" s="4"/>
      <c r="G30" s="4"/>
    </row>
    <row r="31" spans="1:7">
      <c r="A31" s="4"/>
      <c r="B31" s="4"/>
      <c r="C31" s="4"/>
      <c r="D31" s="4"/>
      <c r="E31" s="4"/>
      <c r="F31" s="4"/>
      <c r="G31" s="4"/>
    </row>
    <row r="32" spans="1:7">
      <c r="A32" s="4"/>
      <c r="B32" s="4"/>
      <c r="C32" s="4"/>
      <c r="D32" s="4"/>
      <c r="E32" s="4"/>
      <c r="F32" s="4"/>
      <c r="G32" s="4"/>
    </row>
    <row r="33" spans="1:7">
      <c r="A33" s="4"/>
      <c r="B33" s="4"/>
      <c r="C33" s="4"/>
      <c r="D33" s="4"/>
      <c r="E33" s="4"/>
      <c r="F33" s="4"/>
      <c r="G33" s="4"/>
    </row>
    <row r="34" spans="1:7">
      <c r="A34" s="4"/>
      <c r="B34" s="4"/>
      <c r="C34" s="4"/>
      <c r="D34" s="4"/>
      <c r="E34" s="4"/>
      <c r="F34" s="4"/>
      <c r="G34" s="4"/>
    </row>
    <row r="35" spans="1:7">
      <c r="A35" s="4"/>
      <c r="B35" s="4"/>
      <c r="C35" s="4"/>
      <c r="D35" s="4"/>
      <c r="E35" s="4"/>
      <c r="F35" s="4"/>
      <c r="G35" s="4"/>
    </row>
    <row r="36" spans="1:7">
      <c r="A36" s="4"/>
      <c r="B36" s="4"/>
      <c r="C36" s="4"/>
      <c r="D36" s="4"/>
      <c r="E36" s="4"/>
      <c r="F36" s="4"/>
      <c r="G36" s="4"/>
    </row>
    <row r="37" spans="1:7">
      <c r="A37" s="4"/>
      <c r="B37" s="4"/>
      <c r="C37" s="4"/>
      <c r="D37" s="4"/>
      <c r="E37" s="4"/>
      <c r="F37" s="4"/>
      <c r="G37" s="4"/>
    </row>
    <row r="38" spans="1:7">
      <c r="A38" s="4"/>
      <c r="B38" s="4"/>
      <c r="C38" s="4"/>
      <c r="D38" s="4"/>
      <c r="E38" s="4"/>
      <c r="F38" s="4"/>
      <c r="G38" s="4"/>
    </row>
    <row r="39" spans="1:7">
      <c r="A39" s="4"/>
      <c r="B39" s="4"/>
      <c r="C39" s="4"/>
      <c r="D39" s="4"/>
      <c r="E39" s="4"/>
      <c r="F39" s="4"/>
      <c r="G39" s="4"/>
    </row>
  </sheetData>
  <mergeCells count="2">
    <mergeCell ref="D19:F21"/>
    <mergeCell ref="D6:F8"/>
  </mergeCells>
  <hyperlinks>
    <hyperlink ref="B7" r:id="rId1" display="https://www.indeed.com/career/data-analyst/salaries/Boston--MA?from=top_sb" xr:uid="{7AD59931-FFDF-FD41-BA70-D7A7C5EE8D9D}"/>
    <hyperlink ref="B10" r:id="rId2" display="https://www.numbeo.com/quality-of-life/indices_explained.jsp" xr:uid="{85427A4D-166E-BF42-BE15-DBE0E06B0AA7}"/>
    <hyperlink ref="B11" r:id="rId3" display="https://www.numbeo.com/quality-of-life/region_rankings_current.jsp?region=021" xr:uid="{AD94742E-16D3-9946-9F59-46D0FB338DAB}"/>
    <hyperlink ref="B13" r:id="rId4" display="https://www.kaggle.com/datasets/kabhishm/united-states-crime-rates-by-city-population" xr:uid="{9844606D-4144-8B49-9493-DA8C804AE5A4}"/>
    <hyperlink ref="B16" r:id="rId5" display="https://www.numbeo.com/cost-of-living/in/Austin" xr:uid="{8D21AECC-7BA9-F44A-93D4-81425FEB9385}"/>
    <hyperlink ref="B19" r:id="rId6" xr:uid="{6E3883AD-779D-3F45-B56B-CB0A2864618D}"/>
    <hyperlink ref="B20" r:id="rId7" xr:uid="{5B436FEC-EC87-3E4E-85E6-3959C34E3F5D}"/>
    <hyperlink ref="B4" r:id="rId8" display="https://public.opendatasoft.com/explore/dataset/us-cities-demographics/export/?flg=en-us&amp;sort=city" xr:uid="{4B522C75-EB24-1749-983B-01089AD0BBF4}"/>
  </hyperlinks>
  <pageMargins left="0.7" right="0.7" top="0.75" bottom="0.75" header="0.3" footer="0.3"/>
  <drawing r:id="rId9"/>
  <legacyDrawing r:id="rId10"/>
  <mc:AlternateContent xmlns:mc="http://schemas.openxmlformats.org/markup-compatibility/2006">
    <mc:Choice Requires="x14">
      <controls>
        <mc:AlternateContent xmlns:mc="http://schemas.openxmlformats.org/markup-compatibility/2006">
          <mc:Choice Requires="x14">
            <control shapeId="14337" r:id="rId11" name="Button 1">
              <controlPr defaultSize="0" print="0" autoFill="0" autoPict="0" macro="[0]!FromInformatinToDashboard">
                <anchor moveWithCells="1" sizeWithCells="1">
                  <from>
                    <xdr:col>3</xdr:col>
                    <xdr:colOff>228600</xdr:colOff>
                    <xdr:row>1</xdr:row>
                    <xdr:rowOff>152400</xdr:rowOff>
                  </from>
                  <to>
                    <xdr:col>5</xdr:col>
                    <xdr:colOff>431800</xdr:colOff>
                    <xdr:row>5</xdr:row>
                    <xdr:rowOff>0</xdr:rowOff>
                  </to>
                </anchor>
              </controlPr>
            </control>
          </mc:Choice>
        </mc:AlternateContent>
        <mc:AlternateContent xmlns:mc="http://schemas.openxmlformats.org/markup-compatibility/2006">
          <mc:Choice Requires="x14">
            <control shapeId="14338" r:id="rId12" name="Button 2">
              <controlPr defaultSize="0" print="0" autoFill="0" autoPict="0" macro="[0]!FromInformatinToHome">
                <anchor moveWithCells="1" sizeWithCells="1">
                  <from>
                    <xdr:col>3</xdr:col>
                    <xdr:colOff>228600</xdr:colOff>
                    <xdr:row>13</xdr:row>
                    <xdr:rowOff>165100</xdr:rowOff>
                  </from>
                  <to>
                    <xdr:col>5</xdr:col>
                    <xdr:colOff>431800</xdr:colOff>
                    <xdr:row>17</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055D2-6734-4960-B82D-9CBF80AF9E0C}">
  <sheetPr codeName="Sheet4"/>
  <dimension ref="A1:U597"/>
  <sheetViews>
    <sheetView topLeftCell="I1" workbookViewId="0">
      <selection activeCell="U13" sqref="U13"/>
    </sheetView>
  </sheetViews>
  <sheetFormatPr baseColWidth="10" defaultColWidth="11" defaultRowHeight="15.75" customHeight="1"/>
  <cols>
    <col min="1" max="1" width="44.1640625" bestFit="1" customWidth="1"/>
    <col min="2" max="2" width="17.5" bestFit="1" customWidth="1"/>
    <col min="3" max="3" width="12.1640625" customWidth="1"/>
    <col min="4" max="4" width="15.6640625" customWidth="1"/>
    <col min="5" max="5" width="18" customWidth="1"/>
    <col min="6" max="6" width="15.6640625" customWidth="1"/>
    <col min="7" max="7" width="18.6640625" customWidth="1"/>
    <col min="8" max="8" width="13" customWidth="1"/>
    <col min="9" max="9" width="22.1640625" customWidth="1"/>
    <col min="11" max="11" width="18.83203125" bestFit="1" customWidth="1"/>
    <col min="12" max="12" width="16" bestFit="1" customWidth="1"/>
    <col min="13" max="14" width="13" bestFit="1" customWidth="1"/>
    <col min="15" max="15" width="14.33203125" bestFit="1" customWidth="1"/>
    <col min="16" max="16" width="20.5" bestFit="1" customWidth="1"/>
    <col min="17" max="17" width="16.5" bestFit="1" customWidth="1"/>
    <col min="18" max="18" width="14.33203125" bestFit="1" customWidth="1"/>
    <col min="19" max="19" width="17.83203125" bestFit="1" customWidth="1"/>
    <col min="20" max="20" width="11.6640625" bestFit="1" customWidth="1"/>
    <col min="21" max="21" width="20.83203125" bestFit="1" customWidth="1"/>
    <col min="22" max="22" width="9.83203125" bestFit="1" customWidth="1"/>
    <col min="23" max="23" width="13" bestFit="1" customWidth="1"/>
    <col min="24" max="24" width="16" bestFit="1" customWidth="1"/>
    <col min="25" max="25" width="6.5" bestFit="1" customWidth="1"/>
    <col min="26" max="26" width="7" bestFit="1" customWidth="1"/>
    <col min="27" max="27" width="8" bestFit="1" customWidth="1"/>
    <col min="28" max="28" width="11.1640625" bestFit="1" customWidth="1"/>
    <col min="29" max="29" width="6.33203125" bestFit="1" customWidth="1"/>
    <col min="30" max="30" width="8.83203125" bestFit="1" customWidth="1"/>
    <col min="31" max="31" width="9.83203125" bestFit="1" customWidth="1"/>
    <col min="32" max="32" width="9.33203125" bestFit="1" customWidth="1"/>
    <col min="33" max="33" width="14.5" bestFit="1" customWidth="1"/>
    <col min="34" max="34" width="10.5" bestFit="1" customWidth="1"/>
    <col min="35" max="42" width="22.6640625" bestFit="1" customWidth="1"/>
    <col min="43" max="43" width="24.83203125" bestFit="1" customWidth="1"/>
    <col min="44" max="44" width="27.1640625" bestFit="1" customWidth="1"/>
  </cols>
  <sheetData>
    <row r="1" spans="1:21" ht="16">
      <c r="A1" t="s">
        <v>160</v>
      </c>
      <c r="B1" t="s">
        <v>161</v>
      </c>
      <c r="C1" t="s">
        <v>162</v>
      </c>
      <c r="D1" t="s">
        <v>163</v>
      </c>
      <c r="E1" t="s">
        <v>164</v>
      </c>
      <c r="F1" t="s">
        <v>165</v>
      </c>
      <c r="G1" t="s">
        <v>166</v>
      </c>
      <c r="H1" t="s">
        <v>167</v>
      </c>
      <c r="I1" t="s">
        <v>168</v>
      </c>
      <c r="K1" s="23" t="s">
        <v>160</v>
      </c>
      <c r="L1" s="24" t="s">
        <v>161</v>
      </c>
      <c r="M1" s="24" t="s">
        <v>162</v>
      </c>
      <c r="N1" s="24" t="s">
        <v>163</v>
      </c>
      <c r="O1" s="24" t="s">
        <v>169</v>
      </c>
      <c r="P1" s="24" t="s">
        <v>164</v>
      </c>
      <c r="Q1" s="24" t="s">
        <v>170</v>
      </c>
      <c r="R1" s="24" t="s">
        <v>165</v>
      </c>
      <c r="S1" s="24" t="s">
        <v>166</v>
      </c>
      <c r="T1" s="24" t="s">
        <v>167</v>
      </c>
      <c r="U1" s="25" t="s">
        <v>168</v>
      </c>
    </row>
    <row r="2" spans="1:21" ht="16">
      <c r="A2" t="s">
        <v>171</v>
      </c>
      <c r="B2" t="s">
        <v>32</v>
      </c>
      <c r="C2">
        <v>31.3</v>
      </c>
      <c r="D2">
        <v>65212</v>
      </c>
      <c r="E2">
        <v>60664</v>
      </c>
      <c r="F2">
        <v>125876</v>
      </c>
      <c r="G2">
        <v>9367</v>
      </c>
      <c r="H2">
        <v>8129</v>
      </c>
      <c r="I2">
        <v>2.64</v>
      </c>
      <c r="K2" s="26" t="s">
        <v>29</v>
      </c>
      <c r="L2" s="27" t="s">
        <v>28</v>
      </c>
      <c r="M2" s="27">
        <v>33.799999999999997</v>
      </c>
      <c r="N2" s="27">
        <v>223960</v>
      </c>
      <c r="O2" s="32">
        <f t="shared" ref="O2:O11" si="0">N2/R2</f>
        <v>0.48280247911614121</v>
      </c>
      <c r="P2" s="27">
        <v>239915</v>
      </c>
      <c r="Q2" s="32">
        <f t="shared" ref="Q2:Q11" si="1">P2/R2</f>
        <v>0.51719752088385884</v>
      </c>
      <c r="R2" s="27">
        <v>463875</v>
      </c>
      <c r="S2" s="27">
        <v>18572</v>
      </c>
      <c r="T2" s="27">
        <v>32016</v>
      </c>
      <c r="U2" s="28">
        <v>2.15</v>
      </c>
    </row>
    <row r="3" spans="1:21" ht="16">
      <c r="A3" t="s">
        <v>172</v>
      </c>
      <c r="B3" t="s">
        <v>66</v>
      </c>
      <c r="C3">
        <v>38.1</v>
      </c>
      <c r="D3">
        <v>96886</v>
      </c>
      <c r="E3">
        <v>100667</v>
      </c>
      <c r="F3">
        <v>197553</v>
      </c>
      <c r="G3">
        <v>12878</v>
      </c>
      <c r="H3">
        <v>10024</v>
      </c>
      <c r="I3">
        <v>2.2400000000000002</v>
      </c>
      <c r="K3" s="2" t="s">
        <v>33</v>
      </c>
      <c r="L3" s="3" t="s">
        <v>32</v>
      </c>
      <c r="M3" s="3">
        <v>32.700000000000003</v>
      </c>
      <c r="N3" s="3">
        <v>475718</v>
      </c>
      <c r="O3" s="33">
        <f t="shared" si="0"/>
        <v>0.51051468063186811</v>
      </c>
      <c r="P3" s="3">
        <v>456122</v>
      </c>
      <c r="Q3" s="33">
        <f t="shared" si="1"/>
        <v>0.48948531936813189</v>
      </c>
      <c r="R3" s="3">
        <v>931840</v>
      </c>
      <c r="S3" s="3">
        <v>37414</v>
      </c>
      <c r="T3" s="3">
        <v>181686</v>
      </c>
      <c r="U3" s="29">
        <v>2.5</v>
      </c>
    </row>
    <row r="4" spans="1:21" ht="16">
      <c r="A4" t="s">
        <v>173</v>
      </c>
      <c r="B4" t="s">
        <v>39</v>
      </c>
      <c r="C4">
        <v>33.5</v>
      </c>
      <c r="D4">
        <v>39504</v>
      </c>
      <c r="E4">
        <v>45760</v>
      </c>
      <c r="F4">
        <v>85264</v>
      </c>
      <c r="G4">
        <v>4176</v>
      </c>
      <c r="H4">
        <v>15842</v>
      </c>
      <c r="I4">
        <v>2.94</v>
      </c>
      <c r="K4" s="26" t="s">
        <v>1</v>
      </c>
      <c r="L4" s="27" t="s">
        <v>36</v>
      </c>
      <c r="M4" s="27">
        <v>31.8</v>
      </c>
      <c r="N4" s="27">
        <v>322149</v>
      </c>
      <c r="O4" s="32">
        <f t="shared" si="0"/>
        <v>0.48120077255257526</v>
      </c>
      <c r="P4" s="27">
        <v>347320</v>
      </c>
      <c r="Q4" s="32">
        <f t="shared" si="1"/>
        <v>0.51879922744742479</v>
      </c>
      <c r="R4" s="27">
        <v>669469</v>
      </c>
      <c r="S4" s="27">
        <v>18350</v>
      </c>
      <c r="T4" s="27">
        <v>190123</v>
      </c>
      <c r="U4" s="28">
        <v>2.38</v>
      </c>
    </row>
    <row r="5" spans="1:21" ht="16">
      <c r="A5" t="s">
        <v>174</v>
      </c>
      <c r="B5" t="s">
        <v>30</v>
      </c>
      <c r="C5">
        <v>41.4</v>
      </c>
      <c r="D5">
        <v>37747</v>
      </c>
      <c r="E5">
        <v>40867</v>
      </c>
      <c r="F5">
        <v>78614</v>
      </c>
      <c r="G5">
        <v>4504</v>
      </c>
      <c r="H5">
        <v>18841</v>
      </c>
      <c r="I5">
        <v>2.52</v>
      </c>
      <c r="K5" s="2" t="s">
        <v>64</v>
      </c>
      <c r="L5" s="3" t="s">
        <v>63</v>
      </c>
      <c r="M5" s="3">
        <v>34.200000000000003</v>
      </c>
      <c r="N5" s="3">
        <v>1320015</v>
      </c>
      <c r="O5" s="33">
        <f t="shared" si="0"/>
        <v>0.48520045167237874</v>
      </c>
      <c r="P5" s="3">
        <v>1400541</v>
      </c>
      <c r="Q5" s="33">
        <f t="shared" si="1"/>
        <v>0.51479954832762131</v>
      </c>
      <c r="R5" s="3">
        <v>2720556</v>
      </c>
      <c r="S5" s="3">
        <v>72042</v>
      </c>
      <c r="T5" s="3">
        <v>573463</v>
      </c>
      <c r="U5" s="29">
        <v>2.5299999999999998</v>
      </c>
    </row>
    <row r="6" spans="1:21" ht="16">
      <c r="A6" t="s">
        <v>175</v>
      </c>
      <c r="B6" t="s">
        <v>28</v>
      </c>
      <c r="C6">
        <v>33.299999999999997</v>
      </c>
      <c r="D6">
        <v>31695</v>
      </c>
      <c r="E6">
        <v>39414</v>
      </c>
      <c r="F6">
        <v>71109</v>
      </c>
      <c r="G6">
        <v>5409</v>
      </c>
      <c r="H6">
        <v>861</v>
      </c>
      <c r="I6">
        <v>2.38</v>
      </c>
      <c r="K6" s="26" t="s">
        <v>38</v>
      </c>
      <c r="L6" s="27" t="s">
        <v>30</v>
      </c>
      <c r="M6" s="27">
        <v>35</v>
      </c>
      <c r="N6" s="27">
        <v>1958998</v>
      </c>
      <c r="O6" s="32">
        <f t="shared" si="0"/>
        <v>0.49321482737715189</v>
      </c>
      <c r="P6" s="27">
        <v>2012898</v>
      </c>
      <c r="Q6" s="32">
        <f t="shared" si="1"/>
        <v>0.50678517262284817</v>
      </c>
      <c r="R6" s="27">
        <v>3971896</v>
      </c>
      <c r="S6" s="27">
        <v>85417</v>
      </c>
      <c r="T6" s="27">
        <v>1485425</v>
      </c>
      <c r="U6" s="28">
        <v>2.86</v>
      </c>
    </row>
    <row r="7" spans="1:21" ht="16">
      <c r="A7" t="s">
        <v>175</v>
      </c>
      <c r="B7" t="s">
        <v>43</v>
      </c>
      <c r="C7">
        <v>32.799999999999997</v>
      </c>
      <c r="D7">
        <v>47627</v>
      </c>
      <c r="E7">
        <v>50825</v>
      </c>
      <c r="F7">
        <v>98452</v>
      </c>
      <c r="G7">
        <v>3643</v>
      </c>
      <c r="H7">
        <v>11948</v>
      </c>
      <c r="I7">
        <v>2.08</v>
      </c>
      <c r="K7" s="2" t="s">
        <v>40</v>
      </c>
      <c r="L7" s="3" t="s">
        <v>39</v>
      </c>
      <c r="M7" s="3">
        <v>40.4</v>
      </c>
      <c r="N7" s="3">
        <v>215840</v>
      </c>
      <c r="O7" s="33">
        <f t="shared" si="0"/>
        <v>0.48944531496250471</v>
      </c>
      <c r="P7" s="3">
        <v>225149</v>
      </c>
      <c r="Q7" s="33">
        <f t="shared" si="1"/>
        <v>0.51055468503749524</v>
      </c>
      <c r="R7" s="3">
        <v>440989</v>
      </c>
      <c r="S7" s="3">
        <v>7233</v>
      </c>
      <c r="T7" s="3">
        <v>260789</v>
      </c>
      <c r="U7" s="29">
        <v>2.5</v>
      </c>
    </row>
    <row r="8" spans="1:21" ht="16">
      <c r="A8" t="s">
        <v>27</v>
      </c>
      <c r="B8" t="s">
        <v>26</v>
      </c>
      <c r="C8">
        <v>36</v>
      </c>
      <c r="D8">
        <v>273323</v>
      </c>
      <c r="E8">
        <v>285808</v>
      </c>
      <c r="F8">
        <v>559131</v>
      </c>
      <c r="G8">
        <v>37443</v>
      </c>
      <c r="H8">
        <v>58200</v>
      </c>
      <c r="I8">
        <v>2.4900000000000002</v>
      </c>
      <c r="K8" s="26" t="s">
        <v>43</v>
      </c>
      <c r="L8" s="27" t="s">
        <v>43</v>
      </c>
      <c r="M8" s="27">
        <v>36</v>
      </c>
      <c r="N8" s="27">
        <v>4081698</v>
      </c>
      <c r="O8" s="32">
        <f t="shared" si="0"/>
        <v>0.47736896673315476</v>
      </c>
      <c r="P8" s="27">
        <v>4468707</v>
      </c>
      <c r="Q8" s="32">
        <f t="shared" si="1"/>
        <v>0.52263103326684524</v>
      </c>
      <c r="R8" s="27">
        <v>8550405</v>
      </c>
      <c r="S8" s="27">
        <v>156961</v>
      </c>
      <c r="T8" s="27">
        <v>3212500</v>
      </c>
      <c r="U8" s="28">
        <v>2.68</v>
      </c>
    </row>
    <row r="9" spans="1:21" ht="16">
      <c r="A9" t="s">
        <v>176</v>
      </c>
      <c r="B9" t="s">
        <v>61</v>
      </c>
      <c r="C9">
        <v>36.6</v>
      </c>
      <c r="D9">
        <v>74989</v>
      </c>
      <c r="E9">
        <v>78522</v>
      </c>
      <c r="F9">
        <v>153511</v>
      </c>
      <c r="G9">
        <v>10635</v>
      </c>
      <c r="H9">
        <v>44030</v>
      </c>
      <c r="I9">
        <v>2.2000000000000002</v>
      </c>
      <c r="K9" s="2" t="s">
        <v>45</v>
      </c>
      <c r="L9" s="3" t="s">
        <v>30</v>
      </c>
      <c r="M9" s="3">
        <v>34.5</v>
      </c>
      <c r="N9" s="3">
        <v>33309</v>
      </c>
      <c r="O9" s="33">
        <f t="shared" si="0"/>
        <v>0.47977011825370536</v>
      </c>
      <c r="P9" s="3">
        <v>36118</v>
      </c>
      <c r="Q9" s="33">
        <f t="shared" si="1"/>
        <v>0.5202298817462947</v>
      </c>
      <c r="R9" s="3">
        <v>69427</v>
      </c>
      <c r="S9" s="3">
        <v>2109</v>
      </c>
      <c r="T9" s="3">
        <v>21043</v>
      </c>
      <c r="U9" s="29">
        <v>3.15</v>
      </c>
    </row>
    <row r="10" spans="1:21" ht="16">
      <c r="A10" t="s">
        <v>178</v>
      </c>
      <c r="B10" t="s">
        <v>30</v>
      </c>
      <c r="C10">
        <v>41</v>
      </c>
      <c r="D10">
        <v>42184</v>
      </c>
      <c r="E10">
        <v>43388</v>
      </c>
      <c r="F10">
        <v>85572</v>
      </c>
      <c r="G10">
        <v>1673</v>
      </c>
      <c r="H10">
        <v>44441</v>
      </c>
      <c r="I10">
        <v>2.89</v>
      </c>
      <c r="K10" s="26" t="s">
        <v>47</v>
      </c>
      <c r="L10" s="27" t="s">
        <v>30</v>
      </c>
      <c r="M10" s="27">
        <v>34.5</v>
      </c>
      <c r="N10" s="27">
        <v>693826</v>
      </c>
      <c r="O10" s="32">
        <f t="shared" si="0"/>
        <v>0.4973994682082748</v>
      </c>
      <c r="P10" s="27">
        <v>701081</v>
      </c>
      <c r="Q10" s="32">
        <f t="shared" si="1"/>
        <v>0.50260053179172515</v>
      </c>
      <c r="R10" s="27">
        <v>1394907</v>
      </c>
      <c r="S10" s="27">
        <v>92489</v>
      </c>
      <c r="T10" s="27">
        <v>373842</v>
      </c>
      <c r="U10" s="28">
        <v>2.73</v>
      </c>
    </row>
    <row r="11" spans="1:21" ht="16">
      <c r="A11" t="s">
        <v>179</v>
      </c>
      <c r="B11" t="s">
        <v>44</v>
      </c>
      <c r="C11">
        <v>33.5</v>
      </c>
      <c r="D11">
        <v>60626</v>
      </c>
      <c r="E11">
        <v>59581</v>
      </c>
      <c r="F11">
        <v>120207</v>
      </c>
      <c r="G11">
        <v>5691</v>
      </c>
      <c r="H11">
        <v>19652</v>
      </c>
      <c r="I11">
        <v>2.67</v>
      </c>
      <c r="K11" s="2" t="s">
        <v>714</v>
      </c>
      <c r="L11" s="3" t="s">
        <v>50</v>
      </c>
      <c r="M11" s="3">
        <v>33.799999999999997</v>
      </c>
      <c r="N11" s="3">
        <v>319705</v>
      </c>
      <c r="O11" s="33">
        <f t="shared" si="0"/>
        <v>0.47559012715923765</v>
      </c>
      <c r="P11" s="3">
        <v>352523</v>
      </c>
      <c r="Q11" s="33">
        <f t="shared" si="1"/>
        <v>0.52440987284076235</v>
      </c>
      <c r="R11" s="3">
        <v>672228</v>
      </c>
      <c r="S11" s="3">
        <v>25963</v>
      </c>
      <c r="T11" s="3">
        <v>95117</v>
      </c>
      <c r="U11" s="29">
        <v>2.2400000000000002</v>
      </c>
    </row>
    <row r="12" spans="1:21" ht="16">
      <c r="A12" t="s">
        <v>179</v>
      </c>
      <c r="B12" t="s">
        <v>32</v>
      </c>
      <c r="C12">
        <v>37.200000000000003</v>
      </c>
      <c r="D12">
        <v>51324</v>
      </c>
      <c r="E12">
        <v>46814</v>
      </c>
      <c r="F12">
        <v>98138</v>
      </c>
      <c r="G12">
        <v>3505</v>
      </c>
      <c r="H12">
        <v>19649</v>
      </c>
      <c r="I12">
        <v>3.04</v>
      </c>
    </row>
    <row r="13" spans="1:21" ht="16">
      <c r="A13" t="s">
        <v>180</v>
      </c>
      <c r="B13" t="s">
        <v>32</v>
      </c>
      <c r="C13">
        <v>33.799999999999997</v>
      </c>
      <c r="D13">
        <v>99391</v>
      </c>
      <c r="E13">
        <v>100260</v>
      </c>
      <c r="F13">
        <v>199651</v>
      </c>
      <c r="G13">
        <v>11008</v>
      </c>
      <c r="H13">
        <v>21124</v>
      </c>
      <c r="I13">
        <v>2.64</v>
      </c>
    </row>
    <row r="14" spans="1:21" ht="16">
      <c r="A14" t="s">
        <v>181</v>
      </c>
      <c r="B14" t="s">
        <v>74</v>
      </c>
      <c r="C14">
        <v>23</v>
      </c>
      <c r="D14">
        <v>33814</v>
      </c>
      <c r="E14">
        <v>31238</v>
      </c>
      <c r="F14">
        <v>65052</v>
      </c>
      <c r="G14">
        <v>2265</v>
      </c>
      <c r="H14">
        <v>8606</v>
      </c>
      <c r="I14">
        <v>2.16</v>
      </c>
      <c r="L14" s="30" t="s">
        <v>707</v>
      </c>
      <c r="N14" s="30" t="s">
        <v>182</v>
      </c>
      <c r="O14" t="s">
        <v>183</v>
      </c>
      <c r="P14" t="s">
        <v>184</v>
      </c>
    </row>
    <row r="15" spans="1:21" ht="16">
      <c r="A15" t="s">
        <v>31</v>
      </c>
      <c r="B15" t="s">
        <v>30</v>
      </c>
      <c r="C15">
        <v>33.6</v>
      </c>
      <c r="D15">
        <v>179603</v>
      </c>
      <c r="E15">
        <v>171135</v>
      </c>
      <c r="F15">
        <v>350738</v>
      </c>
      <c r="G15">
        <v>9796</v>
      </c>
      <c r="H15">
        <v>137133</v>
      </c>
      <c r="I15">
        <v>3.45</v>
      </c>
      <c r="K15" s="30" t="s">
        <v>708</v>
      </c>
      <c r="L15" t="s">
        <v>43</v>
      </c>
      <c r="N15" s="31" t="s">
        <v>43</v>
      </c>
      <c r="O15">
        <v>36</v>
      </c>
      <c r="P15">
        <v>8550405</v>
      </c>
    </row>
    <row r="16" spans="1:21" ht="16">
      <c r="A16" t="s">
        <v>35</v>
      </c>
      <c r="B16" t="s">
        <v>34</v>
      </c>
      <c r="C16">
        <v>32.200000000000003</v>
      </c>
      <c r="D16">
        <v>152945</v>
      </c>
      <c r="E16">
        <v>145750</v>
      </c>
      <c r="F16">
        <v>298695</v>
      </c>
      <c r="G16">
        <v>27492</v>
      </c>
      <c r="H16">
        <v>33258</v>
      </c>
      <c r="I16">
        <v>2.77</v>
      </c>
      <c r="K16" s="31" t="s">
        <v>712</v>
      </c>
      <c r="L16" s="34">
        <v>0.47736896673315476</v>
      </c>
      <c r="N16" s="31" t="s">
        <v>185</v>
      </c>
      <c r="O16">
        <v>36</v>
      </c>
      <c r="P16">
        <v>8550405</v>
      </c>
    </row>
    <row r="17" spans="1:12" ht="16">
      <c r="A17" t="s">
        <v>186</v>
      </c>
      <c r="B17" t="s">
        <v>76</v>
      </c>
      <c r="C17">
        <v>28.1</v>
      </c>
      <c r="D17">
        <v>58789</v>
      </c>
      <c r="E17">
        <v>58281</v>
      </c>
      <c r="F17">
        <v>117070</v>
      </c>
      <c r="G17">
        <v>3614</v>
      </c>
      <c r="H17">
        <v>20717</v>
      </c>
      <c r="I17">
        <v>2.17</v>
      </c>
      <c r="K17" s="31" t="s">
        <v>713</v>
      </c>
      <c r="L17" s="34">
        <v>0.52263103326684524</v>
      </c>
    </row>
    <row r="18" spans="1:12" ht="16">
      <c r="A18" t="s">
        <v>187</v>
      </c>
      <c r="B18" t="s">
        <v>30</v>
      </c>
      <c r="C18">
        <v>34</v>
      </c>
      <c r="D18">
        <v>54733</v>
      </c>
      <c r="E18">
        <v>55809</v>
      </c>
      <c r="F18">
        <v>110542</v>
      </c>
      <c r="G18">
        <v>5681</v>
      </c>
      <c r="H18">
        <v>24942</v>
      </c>
      <c r="I18">
        <v>3.31</v>
      </c>
    </row>
    <row r="19" spans="1:12" ht="16">
      <c r="A19" t="s">
        <v>188</v>
      </c>
      <c r="B19" t="s">
        <v>30</v>
      </c>
      <c r="C19">
        <v>34.299999999999997</v>
      </c>
      <c r="D19">
        <v>32873</v>
      </c>
      <c r="E19">
        <v>39312</v>
      </c>
      <c r="F19">
        <v>72185</v>
      </c>
      <c r="G19">
        <v>5714</v>
      </c>
      <c r="H19">
        <v>5801</v>
      </c>
      <c r="I19">
        <v>3.03</v>
      </c>
    </row>
    <row r="20" spans="1:12" ht="16">
      <c r="A20" t="s">
        <v>189</v>
      </c>
      <c r="B20" t="s">
        <v>109</v>
      </c>
      <c r="C20">
        <v>35.6</v>
      </c>
      <c r="D20">
        <v>37217</v>
      </c>
      <c r="E20">
        <v>38038</v>
      </c>
      <c r="F20">
        <v>75255</v>
      </c>
      <c r="G20">
        <v>4219</v>
      </c>
      <c r="H20">
        <v>4454</v>
      </c>
      <c r="I20">
        <v>2.4900000000000002</v>
      </c>
    </row>
    <row r="21" spans="1:12" ht="16">
      <c r="A21" t="s">
        <v>190</v>
      </c>
      <c r="B21" t="s">
        <v>30</v>
      </c>
      <c r="C21">
        <v>41.5</v>
      </c>
      <c r="D21">
        <v>47596</v>
      </c>
      <c r="E21">
        <v>48680</v>
      </c>
      <c r="F21">
        <v>96276</v>
      </c>
      <c r="G21">
        <v>6511</v>
      </c>
      <c r="H21">
        <v>13458</v>
      </c>
      <c r="I21">
        <v>2.1800000000000002</v>
      </c>
    </row>
    <row r="22" spans="1:12" ht="16">
      <c r="A22" t="s">
        <v>191</v>
      </c>
      <c r="B22" t="s">
        <v>61</v>
      </c>
      <c r="C22">
        <v>34.4</v>
      </c>
      <c r="D22">
        <v>113981</v>
      </c>
      <c r="E22">
        <v>115183</v>
      </c>
      <c r="F22">
        <v>229164</v>
      </c>
      <c r="G22">
        <v>12719</v>
      </c>
      <c r="H22">
        <v>55205</v>
      </c>
      <c r="I22">
        <v>2.19</v>
      </c>
    </row>
    <row r="23" spans="1:12" ht="16">
      <c r="A23" t="s">
        <v>191</v>
      </c>
      <c r="B23" t="s">
        <v>32</v>
      </c>
      <c r="C23">
        <v>32.6</v>
      </c>
      <c r="D23">
        <v>191060</v>
      </c>
      <c r="E23">
        <v>197062</v>
      </c>
      <c r="F23">
        <v>388122</v>
      </c>
      <c r="G23">
        <v>17050</v>
      </c>
      <c r="H23">
        <v>79271</v>
      </c>
      <c r="I23">
        <v>2.89</v>
      </c>
    </row>
    <row r="24" spans="1:12" ht="16">
      <c r="A24" t="s">
        <v>192</v>
      </c>
      <c r="B24" t="s">
        <v>63</v>
      </c>
      <c r="C24">
        <v>45.9</v>
      </c>
      <c r="D24">
        <v>37627</v>
      </c>
      <c r="E24">
        <v>39369</v>
      </c>
      <c r="F24">
        <v>76996</v>
      </c>
      <c r="G24">
        <v>3027</v>
      </c>
      <c r="H24">
        <v>14630</v>
      </c>
      <c r="I24">
        <v>2.38</v>
      </c>
    </row>
    <row r="25" spans="1:12" ht="16">
      <c r="A25" t="s">
        <v>193</v>
      </c>
      <c r="B25" t="s">
        <v>41</v>
      </c>
      <c r="C25">
        <v>41</v>
      </c>
      <c r="D25">
        <v>54870</v>
      </c>
      <c r="E25">
        <v>60165</v>
      </c>
      <c r="F25">
        <v>115035</v>
      </c>
      <c r="G25">
        <v>8930</v>
      </c>
      <c r="H25">
        <v>4921</v>
      </c>
      <c r="I25">
        <v>2.4900000000000002</v>
      </c>
    </row>
    <row r="26" spans="1:12" ht="16">
      <c r="A26" t="s">
        <v>194</v>
      </c>
      <c r="B26" t="s">
        <v>195</v>
      </c>
      <c r="C26">
        <v>37.9</v>
      </c>
      <c r="D26">
        <v>42100</v>
      </c>
      <c r="E26">
        <v>46407</v>
      </c>
      <c r="F26">
        <v>88507</v>
      </c>
      <c r="G26">
        <v>4973</v>
      </c>
      <c r="H26">
        <v>6630</v>
      </c>
      <c r="I26">
        <v>2.1800000000000002</v>
      </c>
    </row>
    <row r="27" spans="1:12" ht="16">
      <c r="A27" t="s">
        <v>196</v>
      </c>
      <c r="B27" t="s">
        <v>32</v>
      </c>
      <c r="C27">
        <v>32.799999999999997</v>
      </c>
      <c r="D27">
        <v>37424</v>
      </c>
      <c r="E27">
        <v>40816</v>
      </c>
      <c r="F27">
        <v>78240</v>
      </c>
      <c r="G27">
        <v>4416</v>
      </c>
      <c r="H27">
        <v>8657</v>
      </c>
      <c r="I27">
        <v>3.03</v>
      </c>
    </row>
    <row r="28" spans="1:12" ht="16">
      <c r="A28" t="s">
        <v>197</v>
      </c>
      <c r="B28" t="s">
        <v>28</v>
      </c>
      <c r="C28">
        <v>26.5</v>
      </c>
      <c r="D28">
        <v>57415</v>
      </c>
      <c r="E28">
        <v>65148</v>
      </c>
      <c r="F28">
        <v>122563</v>
      </c>
      <c r="G28">
        <v>3953</v>
      </c>
      <c r="H28">
        <v>12868</v>
      </c>
      <c r="I28">
        <v>2.44</v>
      </c>
    </row>
    <row r="29" spans="1:12" ht="16">
      <c r="A29" t="s">
        <v>29</v>
      </c>
      <c r="B29" t="s">
        <v>28</v>
      </c>
      <c r="C29">
        <v>33.799999999999997</v>
      </c>
      <c r="D29">
        <v>223960</v>
      </c>
      <c r="E29">
        <v>239915</v>
      </c>
      <c r="F29">
        <v>463875</v>
      </c>
      <c r="G29">
        <v>18572</v>
      </c>
      <c r="H29">
        <v>32016</v>
      </c>
      <c r="I29">
        <v>2.15</v>
      </c>
    </row>
    <row r="30" spans="1:12" ht="16">
      <c r="A30" t="s">
        <v>198</v>
      </c>
      <c r="B30" t="s">
        <v>146</v>
      </c>
      <c r="C30">
        <v>37.1</v>
      </c>
      <c r="D30">
        <v>36837</v>
      </c>
      <c r="E30">
        <v>39743</v>
      </c>
      <c r="F30">
        <v>76580</v>
      </c>
      <c r="G30">
        <v>5401</v>
      </c>
      <c r="H30">
        <v>14842</v>
      </c>
      <c r="I30">
        <v>2.73</v>
      </c>
    </row>
    <row r="31" spans="1:12" ht="16">
      <c r="A31" t="s">
        <v>199</v>
      </c>
      <c r="B31" t="s">
        <v>28</v>
      </c>
      <c r="C31">
        <v>33.700000000000003</v>
      </c>
      <c r="D31">
        <v>94662</v>
      </c>
      <c r="E31">
        <v>101917</v>
      </c>
      <c r="F31">
        <v>196579</v>
      </c>
      <c r="G31">
        <v>19085</v>
      </c>
      <c r="H31">
        <v>7915</v>
      </c>
      <c r="I31">
        <v>2.67</v>
      </c>
    </row>
    <row r="32" spans="1:12" ht="16">
      <c r="A32" t="s">
        <v>42</v>
      </c>
      <c r="B32" t="s">
        <v>41</v>
      </c>
      <c r="C32">
        <v>34.200000000000003</v>
      </c>
      <c r="D32">
        <v>177899</v>
      </c>
      <c r="E32">
        <v>180971</v>
      </c>
      <c r="F32">
        <v>358870</v>
      </c>
      <c r="G32">
        <v>25158</v>
      </c>
      <c r="H32">
        <v>65816</v>
      </c>
      <c r="I32">
        <v>2.82</v>
      </c>
    </row>
    <row r="33" spans="1:9" ht="16">
      <c r="A33" t="s">
        <v>42</v>
      </c>
      <c r="B33" t="s">
        <v>63</v>
      </c>
      <c r="C33">
        <v>31.7</v>
      </c>
      <c r="D33">
        <v>101964</v>
      </c>
      <c r="E33">
        <v>101751</v>
      </c>
      <c r="F33">
        <v>203715</v>
      </c>
      <c r="G33">
        <v>4988</v>
      </c>
      <c r="H33">
        <v>50980</v>
      </c>
      <c r="I33">
        <v>3.3</v>
      </c>
    </row>
    <row r="34" spans="1:9" ht="16">
      <c r="A34" t="s">
        <v>33</v>
      </c>
      <c r="B34" t="s">
        <v>32</v>
      </c>
      <c r="C34">
        <v>32.700000000000003</v>
      </c>
      <c r="D34">
        <v>475718</v>
      </c>
      <c r="E34">
        <v>456122</v>
      </c>
      <c r="F34">
        <v>931840</v>
      </c>
      <c r="G34">
        <v>37414</v>
      </c>
      <c r="H34">
        <v>181686</v>
      </c>
      <c r="I34">
        <v>2.5</v>
      </c>
    </row>
    <row r="35" spans="1:9" ht="16">
      <c r="A35" t="s">
        <v>200</v>
      </c>
      <c r="B35" t="s">
        <v>57</v>
      </c>
      <c r="C35">
        <v>29.1</v>
      </c>
      <c r="D35">
        <v>38712</v>
      </c>
      <c r="E35">
        <v>41971</v>
      </c>
      <c r="F35">
        <v>80683</v>
      </c>
      <c r="G35">
        <v>4815</v>
      </c>
      <c r="H35">
        <v>8355</v>
      </c>
      <c r="I35">
        <v>3.18</v>
      </c>
    </row>
    <row r="36" spans="1:9" ht="16">
      <c r="A36" t="s">
        <v>46</v>
      </c>
      <c r="B36" t="s">
        <v>30</v>
      </c>
      <c r="C36">
        <v>30.6</v>
      </c>
      <c r="D36">
        <v>182154</v>
      </c>
      <c r="E36">
        <v>191473</v>
      </c>
      <c r="F36">
        <v>373627</v>
      </c>
      <c r="G36">
        <v>12284</v>
      </c>
      <c r="H36">
        <v>71575</v>
      </c>
      <c r="I36">
        <v>3.23</v>
      </c>
    </row>
    <row r="37" spans="1:9" ht="16">
      <c r="A37" t="s">
        <v>201</v>
      </c>
      <c r="B37" t="s">
        <v>30</v>
      </c>
      <c r="C37">
        <v>35.799999999999997</v>
      </c>
      <c r="D37">
        <v>38747</v>
      </c>
      <c r="E37">
        <v>38309</v>
      </c>
      <c r="F37">
        <v>77056</v>
      </c>
      <c r="G37">
        <v>780</v>
      </c>
      <c r="H37">
        <v>34322</v>
      </c>
      <c r="I37">
        <v>4.13</v>
      </c>
    </row>
    <row r="38" spans="1:9" ht="16">
      <c r="A38" t="s">
        <v>49</v>
      </c>
      <c r="B38" t="s">
        <v>48</v>
      </c>
      <c r="C38">
        <v>34.700000000000003</v>
      </c>
      <c r="D38">
        <v>294027</v>
      </c>
      <c r="E38">
        <v>327822</v>
      </c>
      <c r="F38">
        <v>621849</v>
      </c>
      <c r="G38">
        <v>29540</v>
      </c>
      <c r="H38">
        <v>49857</v>
      </c>
      <c r="I38">
        <v>2.5099999999999998</v>
      </c>
    </row>
    <row r="39" spans="1:9" ht="16">
      <c r="A39" t="s">
        <v>53</v>
      </c>
      <c r="B39" t="s">
        <v>52</v>
      </c>
      <c r="C39">
        <v>31.2</v>
      </c>
      <c r="D39">
        <v>111492</v>
      </c>
      <c r="E39">
        <v>117104</v>
      </c>
      <c r="F39">
        <v>228596</v>
      </c>
      <c r="G39">
        <v>10633</v>
      </c>
      <c r="H39">
        <v>12268</v>
      </c>
      <c r="I39">
        <v>2.52</v>
      </c>
    </row>
    <row r="40" spans="1:9" ht="16">
      <c r="A40" t="s">
        <v>202</v>
      </c>
      <c r="B40" t="s">
        <v>32</v>
      </c>
      <c r="C40">
        <v>32.9</v>
      </c>
      <c r="D40">
        <v>37977</v>
      </c>
      <c r="E40">
        <v>37508</v>
      </c>
      <c r="F40">
        <v>75485</v>
      </c>
      <c r="G40">
        <v>3478</v>
      </c>
      <c r="H40">
        <v>13192</v>
      </c>
      <c r="I40">
        <v>2.59</v>
      </c>
    </row>
    <row r="41" spans="1:9" ht="16">
      <c r="A41" t="s">
        <v>203</v>
      </c>
      <c r="B41" t="s">
        <v>204</v>
      </c>
      <c r="C41">
        <v>39.4</v>
      </c>
      <c r="D41">
        <v>80128</v>
      </c>
      <c r="E41">
        <v>90131</v>
      </c>
      <c r="F41">
        <v>170259</v>
      </c>
    </row>
    <row r="42" spans="1:9" ht="16">
      <c r="A42" t="s">
        <v>205</v>
      </c>
      <c r="B42" t="s">
        <v>99</v>
      </c>
      <c r="C42">
        <v>39.700000000000003</v>
      </c>
      <c r="D42">
        <v>32705</v>
      </c>
      <c r="E42">
        <v>33598</v>
      </c>
      <c r="F42">
        <v>66303</v>
      </c>
      <c r="G42">
        <v>2225</v>
      </c>
      <c r="H42">
        <v>21899</v>
      </c>
      <c r="I42">
        <v>2.62</v>
      </c>
    </row>
    <row r="43" spans="1:9" ht="16">
      <c r="A43" t="s">
        <v>206</v>
      </c>
      <c r="B43" t="s">
        <v>32</v>
      </c>
      <c r="C43">
        <v>31.6</v>
      </c>
      <c r="D43">
        <v>57326</v>
      </c>
      <c r="E43">
        <v>60784</v>
      </c>
      <c r="F43">
        <v>118110</v>
      </c>
      <c r="G43">
        <v>7584</v>
      </c>
      <c r="H43">
        <v>10516</v>
      </c>
      <c r="I43">
        <v>2.4700000000000002</v>
      </c>
    </row>
    <row r="44" spans="1:9" ht="16">
      <c r="A44" t="s">
        <v>207</v>
      </c>
      <c r="B44" t="s">
        <v>133</v>
      </c>
      <c r="C44">
        <v>35.6</v>
      </c>
      <c r="D44">
        <v>47325</v>
      </c>
      <c r="E44">
        <v>49252</v>
      </c>
      <c r="F44">
        <v>96577</v>
      </c>
      <c r="G44">
        <v>4645</v>
      </c>
      <c r="H44">
        <v>18933</v>
      </c>
      <c r="I44">
        <v>2.46</v>
      </c>
    </row>
    <row r="45" spans="1:9" ht="16">
      <c r="A45" t="s">
        <v>208</v>
      </c>
      <c r="B45" t="s">
        <v>146</v>
      </c>
      <c r="C45">
        <v>37.4</v>
      </c>
      <c r="D45">
        <v>70763</v>
      </c>
      <c r="E45">
        <v>69051</v>
      </c>
      <c r="F45">
        <v>139814</v>
      </c>
      <c r="G45">
        <v>5382</v>
      </c>
      <c r="H45">
        <v>54654</v>
      </c>
      <c r="I45">
        <v>2.4300000000000002</v>
      </c>
    </row>
    <row r="46" spans="1:9" ht="16">
      <c r="A46" t="s">
        <v>209</v>
      </c>
      <c r="B46" t="s">
        <v>30</v>
      </c>
      <c r="C46">
        <v>33.4</v>
      </c>
      <c r="D46">
        <v>38936</v>
      </c>
      <c r="E46">
        <v>39498</v>
      </c>
      <c r="F46">
        <v>78434</v>
      </c>
      <c r="G46">
        <v>2154</v>
      </c>
      <c r="H46">
        <v>24607</v>
      </c>
      <c r="I46">
        <v>3.58</v>
      </c>
    </row>
    <row r="47" spans="1:9" ht="16">
      <c r="A47" t="s">
        <v>210</v>
      </c>
      <c r="B47" t="s">
        <v>146</v>
      </c>
      <c r="C47">
        <v>30.7</v>
      </c>
      <c r="D47">
        <v>41286</v>
      </c>
      <c r="E47">
        <v>43857</v>
      </c>
      <c r="F47">
        <v>85143</v>
      </c>
      <c r="G47">
        <v>4703</v>
      </c>
      <c r="H47">
        <v>8713</v>
      </c>
      <c r="I47">
        <v>2.44</v>
      </c>
    </row>
    <row r="48" spans="1:9" ht="16">
      <c r="A48" t="s">
        <v>211</v>
      </c>
      <c r="B48" t="s">
        <v>133</v>
      </c>
      <c r="C48">
        <v>37.299999999999997</v>
      </c>
      <c r="D48">
        <v>42294</v>
      </c>
      <c r="E48">
        <v>44723</v>
      </c>
      <c r="F48">
        <v>87017</v>
      </c>
      <c r="G48">
        <v>6199</v>
      </c>
      <c r="H48">
        <v>3032</v>
      </c>
      <c r="I48">
        <v>2.39</v>
      </c>
    </row>
    <row r="49" spans="1:9" ht="16">
      <c r="A49" t="s">
        <v>212</v>
      </c>
      <c r="B49" t="s">
        <v>30</v>
      </c>
      <c r="C49">
        <v>32.5</v>
      </c>
      <c r="D49">
        <v>60142</v>
      </c>
      <c r="E49">
        <v>60829</v>
      </c>
      <c r="F49">
        <v>120971</v>
      </c>
      <c r="G49">
        <v>3736</v>
      </c>
      <c r="H49">
        <v>25000</v>
      </c>
      <c r="I49">
        <v>2.35</v>
      </c>
    </row>
    <row r="50" spans="1:9" ht="16">
      <c r="A50" t="s">
        <v>213</v>
      </c>
      <c r="B50" t="s">
        <v>44</v>
      </c>
      <c r="C50">
        <v>35.1</v>
      </c>
      <c r="D50">
        <v>35861</v>
      </c>
      <c r="E50">
        <v>38506</v>
      </c>
      <c r="F50">
        <v>74367</v>
      </c>
      <c r="G50">
        <v>4704</v>
      </c>
      <c r="H50">
        <v>6295</v>
      </c>
      <c r="I50">
        <v>2.46</v>
      </c>
    </row>
    <row r="51" spans="1:9" ht="16">
      <c r="A51" t="s">
        <v>214</v>
      </c>
      <c r="B51" t="s">
        <v>215</v>
      </c>
      <c r="C51">
        <v>36.299999999999997</v>
      </c>
      <c r="D51">
        <v>52705</v>
      </c>
      <c r="E51">
        <v>57565</v>
      </c>
      <c r="F51">
        <v>110270</v>
      </c>
      <c r="G51">
        <v>9121</v>
      </c>
      <c r="H51">
        <v>3206</v>
      </c>
      <c r="I51">
        <v>2.4</v>
      </c>
    </row>
    <row r="52" spans="1:9" ht="16">
      <c r="A52" t="s">
        <v>216</v>
      </c>
      <c r="B52" t="s">
        <v>117</v>
      </c>
      <c r="C52">
        <v>35.6</v>
      </c>
      <c r="D52">
        <v>102122</v>
      </c>
      <c r="E52">
        <v>112789</v>
      </c>
      <c r="F52">
        <v>214911</v>
      </c>
      <c r="G52">
        <v>13212</v>
      </c>
      <c r="H52">
        <v>8258</v>
      </c>
      <c r="I52">
        <v>2.21</v>
      </c>
    </row>
    <row r="53" spans="1:9" ht="16">
      <c r="A53" t="s">
        <v>217</v>
      </c>
      <c r="B53" t="s">
        <v>218</v>
      </c>
      <c r="C53">
        <v>38</v>
      </c>
      <c r="D53">
        <v>34675</v>
      </c>
      <c r="E53">
        <v>35565</v>
      </c>
      <c r="F53">
        <v>70240</v>
      </c>
      <c r="G53">
        <v>4145</v>
      </c>
      <c r="H53">
        <v>2064</v>
      </c>
      <c r="I53">
        <v>2.11</v>
      </c>
    </row>
    <row r="54" spans="1:9" ht="16">
      <c r="A54" t="s">
        <v>219</v>
      </c>
      <c r="B54" t="s">
        <v>30</v>
      </c>
      <c r="C54">
        <v>37</v>
      </c>
      <c r="D54">
        <v>50405</v>
      </c>
      <c r="E54">
        <v>54909</v>
      </c>
      <c r="F54">
        <v>105314</v>
      </c>
      <c r="G54">
        <v>4048</v>
      </c>
      <c r="H54">
        <v>32435</v>
      </c>
      <c r="I54">
        <v>2.52</v>
      </c>
    </row>
    <row r="55" spans="1:9" ht="16">
      <c r="A55" t="s">
        <v>220</v>
      </c>
      <c r="B55" t="s">
        <v>115</v>
      </c>
      <c r="C55">
        <v>40.9</v>
      </c>
      <c r="D55">
        <v>43318</v>
      </c>
      <c r="E55">
        <v>43118</v>
      </c>
      <c r="F55">
        <v>86436</v>
      </c>
      <c r="G55">
        <v>6176</v>
      </c>
      <c r="H55">
        <v>10728</v>
      </c>
      <c r="I55">
        <v>2.2999999999999998</v>
      </c>
    </row>
    <row r="56" spans="1:9" ht="16">
      <c r="A56" t="s">
        <v>220</v>
      </c>
      <c r="B56" t="s">
        <v>80</v>
      </c>
      <c r="C56">
        <v>23.5</v>
      </c>
      <c r="D56">
        <v>40588</v>
      </c>
      <c r="E56">
        <v>43227</v>
      </c>
      <c r="F56">
        <v>83815</v>
      </c>
      <c r="G56">
        <v>2368</v>
      </c>
      <c r="H56">
        <v>10033</v>
      </c>
      <c r="I56">
        <v>2.33</v>
      </c>
    </row>
    <row r="57" spans="1:9" ht="16">
      <c r="A57" t="s">
        <v>220</v>
      </c>
      <c r="B57" t="s">
        <v>63</v>
      </c>
      <c r="C57">
        <v>35.1</v>
      </c>
      <c r="D57">
        <v>37972</v>
      </c>
      <c r="E57">
        <v>40323</v>
      </c>
      <c r="F57">
        <v>78295</v>
      </c>
      <c r="G57">
        <v>3888</v>
      </c>
      <c r="H57">
        <v>7287</v>
      </c>
      <c r="I57">
        <v>2.34</v>
      </c>
    </row>
    <row r="58" spans="1:9" ht="16">
      <c r="A58" t="s">
        <v>221</v>
      </c>
      <c r="B58" t="s">
        <v>39</v>
      </c>
      <c r="C58">
        <v>47.3</v>
      </c>
      <c r="D58">
        <v>44760</v>
      </c>
      <c r="E58">
        <v>48466</v>
      </c>
      <c r="F58">
        <v>93226</v>
      </c>
      <c r="G58">
        <v>4367</v>
      </c>
      <c r="H58">
        <v>21117</v>
      </c>
      <c r="I58">
        <v>2.2200000000000002</v>
      </c>
    </row>
    <row r="59" spans="1:9" ht="16">
      <c r="A59" t="s">
        <v>55</v>
      </c>
      <c r="B59" t="s">
        <v>54</v>
      </c>
      <c r="C59">
        <v>34.9</v>
      </c>
      <c r="D59">
        <v>110099</v>
      </c>
      <c r="E59">
        <v>108181</v>
      </c>
      <c r="F59">
        <v>218280</v>
      </c>
      <c r="G59">
        <v>16004</v>
      </c>
      <c r="H59">
        <v>13409</v>
      </c>
      <c r="I59">
        <v>2.61</v>
      </c>
    </row>
    <row r="60" spans="1:9" ht="16">
      <c r="A60" t="s">
        <v>222</v>
      </c>
      <c r="B60" t="s">
        <v>63</v>
      </c>
      <c r="C60">
        <v>33.700000000000003</v>
      </c>
      <c r="D60">
        <v>36295</v>
      </c>
      <c r="E60">
        <v>35801</v>
      </c>
      <c r="F60">
        <v>72096</v>
      </c>
      <c r="G60">
        <v>2951</v>
      </c>
      <c r="H60">
        <v>15212</v>
      </c>
      <c r="I60">
        <v>3.42</v>
      </c>
    </row>
    <row r="61" spans="1:9" ht="16">
      <c r="A61" t="s">
        <v>223</v>
      </c>
      <c r="B61" t="s">
        <v>52</v>
      </c>
      <c r="C61">
        <v>32.700000000000003</v>
      </c>
      <c r="D61">
        <v>33428</v>
      </c>
      <c r="E61">
        <v>34669</v>
      </c>
      <c r="F61">
        <v>68097</v>
      </c>
      <c r="G61">
        <v>8108</v>
      </c>
      <c r="H61">
        <v>2980</v>
      </c>
      <c r="I61">
        <v>2.4</v>
      </c>
    </row>
    <row r="62" spans="1:9" ht="16">
      <c r="A62" t="s">
        <v>1</v>
      </c>
      <c r="B62" t="s">
        <v>36</v>
      </c>
      <c r="C62">
        <v>31.8</v>
      </c>
      <c r="D62">
        <v>322149</v>
      </c>
      <c r="E62">
        <v>347320</v>
      </c>
      <c r="F62">
        <v>669469</v>
      </c>
      <c r="G62">
        <v>18350</v>
      </c>
      <c r="H62">
        <v>190123</v>
      </c>
      <c r="I62">
        <v>2.38</v>
      </c>
    </row>
    <row r="63" spans="1:9" ht="16">
      <c r="A63" t="s">
        <v>224</v>
      </c>
      <c r="B63" t="s">
        <v>41</v>
      </c>
      <c r="C63">
        <v>29</v>
      </c>
      <c r="D63">
        <v>56342</v>
      </c>
      <c r="E63">
        <v>51000</v>
      </c>
      <c r="F63">
        <v>107342</v>
      </c>
      <c r="G63">
        <v>4061</v>
      </c>
      <c r="H63">
        <v>12993</v>
      </c>
      <c r="I63">
        <v>2.2400000000000002</v>
      </c>
    </row>
    <row r="64" spans="1:9" ht="16">
      <c r="A64" t="s">
        <v>225</v>
      </c>
      <c r="B64" t="s">
        <v>39</v>
      </c>
      <c r="C64">
        <v>45.8</v>
      </c>
      <c r="D64">
        <v>33701</v>
      </c>
      <c r="E64">
        <v>40271</v>
      </c>
      <c r="F64">
        <v>73972</v>
      </c>
      <c r="G64">
        <v>4727</v>
      </c>
      <c r="H64">
        <v>15431</v>
      </c>
      <c r="I64">
        <v>2.4500000000000002</v>
      </c>
    </row>
    <row r="65" spans="1:9" ht="16">
      <c r="A65" t="s">
        <v>226</v>
      </c>
      <c r="B65" t="s">
        <v>39</v>
      </c>
      <c r="C65">
        <v>36.1</v>
      </c>
      <c r="D65">
        <v>55679</v>
      </c>
      <c r="E65">
        <v>58289</v>
      </c>
      <c r="F65">
        <v>113968</v>
      </c>
      <c r="G65">
        <v>9417</v>
      </c>
      <c r="H65">
        <v>16390</v>
      </c>
      <c r="I65">
        <v>2.64</v>
      </c>
    </row>
    <row r="66" spans="1:9" ht="16">
      <c r="A66" t="s">
        <v>227</v>
      </c>
      <c r="B66" t="s">
        <v>43</v>
      </c>
      <c r="C66">
        <v>34.200000000000003</v>
      </c>
      <c r="D66">
        <v>31395</v>
      </c>
      <c r="E66">
        <v>32397</v>
      </c>
      <c r="F66">
        <v>63792</v>
      </c>
      <c r="G66">
        <v>1492</v>
      </c>
      <c r="H66">
        <v>27058</v>
      </c>
      <c r="I66">
        <v>4.9800000000000004</v>
      </c>
    </row>
    <row r="67" spans="1:9" ht="16">
      <c r="A67" t="s">
        <v>228</v>
      </c>
      <c r="B67" t="s">
        <v>229</v>
      </c>
      <c r="C67">
        <v>34.1</v>
      </c>
      <c r="D67">
        <v>71509</v>
      </c>
      <c r="E67">
        <v>76110</v>
      </c>
      <c r="F67">
        <v>147619</v>
      </c>
      <c r="G67">
        <v>4646</v>
      </c>
      <c r="H67">
        <v>44475</v>
      </c>
      <c r="I67">
        <v>2.86</v>
      </c>
    </row>
    <row r="68" spans="1:9" ht="16">
      <c r="A68" t="s">
        <v>230</v>
      </c>
      <c r="B68" t="s">
        <v>36</v>
      </c>
      <c r="C68">
        <v>35.200000000000003</v>
      </c>
      <c r="D68">
        <v>46273</v>
      </c>
      <c r="E68">
        <v>49041</v>
      </c>
      <c r="F68">
        <v>95314</v>
      </c>
      <c r="G68">
        <v>3036</v>
      </c>
      <c r="H68">
        <v>27313</v>
      </c>
      <c r="I68">
        <v>2.88</v>
      </c>
    </row>
    <row r="69" spans="1:9" ht="16">
      <c r="A69" t="s">
        <v>231</v>
      </c>
      <c r="B69" t="s">
        <v>125</v>
      </c>
      <c r="C69">
        <v>36.799999999999997</v>
      </c>
      <c r="D69">
        <v>52136</v>
      </c>
      <c r="E69">
        <v>55459</v>
      </c>
      <c r="F69">
        <v>107595</v>
      </c>
      <c r="G69">
        <v>6797</v>
      </c>
      <c r="H69">
        <v>6845</v>
      </c>
      <c r="I69">
        <v>2.77</v>
      </c>
    </row>
    <row r="70" spans="1:9" ht="16">
      <c r="A70" t="s">
        <v>232</v>
      </c>
      <c r="B70" t="s">
        <v>115</v>
      </c>
      <c r="C70">
        <v>35.1</v>
      </c>
      <c r="D70">
        <v>37845</v>
      </c>
      <c r="E70">
        <v>41305</v>
      </c>
      <c r="F70">
        <v>79150</v>
      </c>
      <c r="G70">
        <v>3506</v>
      </c>
      <c r="H70">
        <v>17490</v>
      </c>
      <c r="I70">
        <v>2.85</v>
      </c>
    </row>
    <row r="71" spans="1:9" ht="16">
      <c r="A71" t="s">
        <v>233</v>
      </c>
      <c r="B71" t="s">
        <v>41</v>
      </c>
      <c r="C71">
        <v>36.799999999999997</v>
      </c>
      <c r="D71">
        <v>31755</v>
      </c>
      <c r="E71">
        <v>33310</v>
      </c>
      <c r="F71">
        <v>65065</v>
      </c>
      <c r="G71">
        <v>3966</v>
      </c>
      <c r="H71">
        <v>5316</v>
      </c>
      <c r="I71">
        <v>2.5299999999999998</v>
      </c>
    </row>
    <row r="72" spans="1:9" ht="16">
      <c r="A72" t="s">
        <v>234</v>
      </c>
      <c r="B72" t="s">
        <v>32</v>
      </c>
      <c r="C72">
        <v>30.6</v>
      </c>
      <c r="D72">
        <v>87689</v>
      </c>
      <c r="E72">
        <v>96199</v>
      </c>
      <c r="F72">
        <v>183888</v>
      </c>
      <c r="G72">
        <v>4211</v>
      </c>
      <c r="H72">
        <v>53301</v>
      </c>
      <c r="I72">
        <v>3.48</v>
      </c>
    </row>
    <row r="73" spans="1:9" ht="16">
      <c r="A73" t="s">
        <v>235</v>
      </c>
      <c r="B73" t="s">
        <v>32</v>
      </c>
      <c r="C73">
        <v>29.4</v>
      </c>
      <c r="D73">
        <v>41761</v>
      </c>
      <c r="E73">
        <v>40345</v>
      </c>
      <c r="F73">
        <v>82106</v>
      </c>
      <c r="G73">
        <v>3602</v>
      </c>
      <c r="H73">
        <v>12014</v>
      </c>
      <c r="I73">
        <v>2.5499999999999998</v>
      </c>
    </row>
    <row r="74" spans="1:9" ht="16">
      <c r="A74" t="s">
        <v>236</v>
      </c>
      <c r="B74" t="s">
        <v>30</v>
      </c>
      <c r="C74">
        <v>35.700000000000003</v>
      </c>
      <c r="D74">
        <v>41593</v>
      </c>
      <c r="E74">
        <v>41671</v>
      </c>
      <c r="F74">
        <v>83264</v>
      </c>
      <c r="G74">
        <v>3116</v>
      </c>
      <c r="H74">
        <v>28430</v>
      </c>
      <c r="I74">
        <v>3.55</v>
      </c>
    </row>
    <row r="75" spans="1:9" ht="16">
      <c r="A75" t="s">
        <v>56</v>
      </c>
      <c r="B75" t="s">
        <v>43</v>
      </c>
      <c r="C75">
        <v>33.1</v>
      </c>
      <c r="D75">
        <v>124537</v>
      </c>
      <c r="E75">
        <v>133529</v>
      </c>
      <c r="F75">
        <v>258066</v>
      </c>
      <c r="G75">
        <v>11231</v>
      </c>
      <c r="H75">
        <v>24630</v>
      </c>
      <c r="I75">
        <v>2.27</v>
      </c>
    </row>
    <row r="76" spans="1:9" ht="16">
      <c r="A76" t="s">
        <v>237</v>
      </c>
      <c r="B76" t="s">
        <v>204</v>
      </c>
      <c r="C76">
        <v>40.4</v>
      </c>
      <c r="D76">
        <v>34743</v>
      </c>
      <c r="E76">
        <v>42265</v>
      </c>
      <c r="F76">
        <v>77008</v>
      </c>
    </row>
    <row r="77" spans="1:9" ht="16">
      <c r="A77" t="s">
        <v>238</v>
      </c>
      <c r="B77" t="s">
        <v>30</v>
      </c>
      <c r="C77">
        <v>40.799999999999997</v>
      </c>
      <c r="D77">
        <v>31941</v>
      </c>
      <c r="E77">
        <v>35682</v>
      </c>
      <c r="F77">
        <v>67623</v>
      </c>
      <c r="G77">
        <v>4384</v>
      </c>
      <c r="H77">
        <v>9735</v>
      </c>
      <c r="I77">
        <v>2.77</v>
      </c>
    </row>
    <row r="78" spans="1:9" ht="16">
      <c r="A78" t="s">
        <v>239</v>
      </c>
      <c r="B78" t="s">
        <v>36</v>
      </c>
      <c r="C78">
        <v>31.5</v>
      </c>
      <c r="D78">
        <v>55421</v>
      </c>
      <c r="E78">
        <v>54981</v>
      </c>
      <c r="F78">
        <v>110402</v>
      </c>
      <c r="G78">
        <v>2495</v>
      </c>
      <c r="H78">
        <v>27757</v>
      </c>
      <c r="I78">
        <v>2.06</v>
      </c>
    </row>
    <row r="79" spans="1:9" ht="16">
      <c r="A79" t="s">
        <v>240</v>
      </c>
      <c r="B79" t="s">
        <v>99</v>
      </c>
      <c r="C79">
        <v>27.9</v>
      </c>
      <c r="D79">
        <v>36437</v>
      </c>
      <c r="E79">
        <v>39694</v>
      </c>
      <c r="F79">
        <v>76131</v>
      </c>
      <c r="G79">
        <v>1425</v>
      </c>
      <c r="H79">
        <v>11317</v>
      </c>
      <c r="I79">
        <v>3</v>
      </c>
    </row>
    <row r="80" spans="1:9" ht="16">
      <c r="A80" t="s">
        <v>241</v>
      </c>
      <c r="B80" t="s">
        <v>66</v>
      </c>
      <c r="C80">
        <v>33.4</v>
      </c>
      <c r="D80">
        <v>34476</v>
      </c>
      <c r="E80">
        <v>37419</v>
      </c>
      <c r="F80">
        <v>71895</v>
      </c>
      <c r="G80">
        <v>3404</v>
      </c>
      <c r="H80">
        <v>2204</v>
      </c>
      <c r="I80">
        <v>2.3199999999999998</v>
      </c>
    </row>
    <row r="81" spans="1:9" ht="16">
      <c r="A81" t="s">
        <v>242</v>
      </c>
      <c r="B81" t="s">
        <v>39</v>
      </c>
      <c r="C81">
        <v>45</v>
      </c>
      <c r="D81">
        <v>85626</v>
      </c>
      <c r="E81">
        <v>89604</v>
      </c>
      <c r="F81">
        <v>175230</v>
      </c>
      <c r="G81">
        <v>14446</v>
      </c>
      <c r="H81">
        <v>24185</v>
      </c>
      <c r="I81">
        <v>2.85</v>
      </c>
    </row>
    <row r="82" spans="1:9" ht="16">
      <c r="A82" t="s">
        <v>243</v>
      </c>
      <c r="B82" t="s">
        <v>30</v>
      </c>
      <c r="C82">
        <v>42.1</v>
      </c>
      <c r="D82">
        <v>55119</v>
      </c>
      <c r="E82">
        <v>58347</v>
      </c>
      <c r="F82">
        <v>113466</v>
      </c>
      <c r="G82">
        <v>6031</v>
      </c>
      <c r="H82">
        <v>17689</v>
      </c>
      <c r="I82">
        <v>2.68</v>
      </c>
    </row>
    <row r="83" spans="1:9" ht="16">
      <c r="A83" t="s">
        <v>244</v>
      </c>
      <c r="B83" t="s">
        <v>80</v>
      </c>
      <c r="C83">
        <v>39.9</v>
      </c>
      <c r="D83">
        <v>42928</v>
      </c>
      <c r="E83">
        <v>46101</v>
      </c>
      <c r="F83">
        <v>89029</v>
      </c>
      <c r="G83">
        <v>2723</v>
      </c>
      <c r="H83">
        <v>9645</v>
      </c>
      <c r="I83">
        <v>2.71</v>
      </c>
    </row>
    <row r="84" spans="1:9" ht="16">
      <c r="A84" t="s">
        <v>245</v>
      </c>
      <c r="B84" t="s">
        <v>30</v>
      </c>
      <c r="C84">
        <v>41</v>
      </c>
      <c r="D84">
        <v>29281</v>
      </c>
      <c r="E84">
        <v>33934</v>
      </c>
      <c r="F84">
        <v>63215</v>
      </c>
      <c r="G84">
        <v>4225</v>
      </c>
      <c r="H84">
        <v>7378</v>
      </c>
      <c r="I84">
        <v>2.39</v>
      </c>
    </row>
    <row r="85" spans="1:9" ht="16">
      <c r="A85" t="s">
        <v>246</v>
      </c>
      <c r="B85" t="s">
        <v>204</v>
      </c>
      <c r="C85">
        <v>42</v>
      </c>
      <c r="D85">
        <v>64758</v>
      </c>
      <c r="E85">
        <v>77308</v>
      </c>
      <c r="F85">
        <v>142066</v>
      </c>
    </row>
    <row r="86" spans="1:9" ht="16">
      <c r="A86" t="s">
        <v>247</v>
      </c>
      <c r="B86" t="s">
        <v>32</v>
      </c>
      <c r="C86">
        <v>36.9</v>
      </c>
      <c r="D86">
        <v>66928</v>
      </c>
      <c r="E86">
        <v>66218</v>
      </c>
      <c r="F86">
        <v>133146</v>
      </c>
      <c r="G86">
        <v>5720</v>
      </c>
      <c r="H86">
        <v>35327</v>
      </c>
      <c r="I86">
        <v>2.78</v>
      </c>
    </row>
    <row r="87" spans="1:9" ht="16">
      <c r="A87" t="s">
        <v>248</v>
      </c>
      <c r="B87" t="s">
        <v>30</v>
      </c>
      <c r="C87">
        <v>40.4</v>
      </c>
      <c r="D87">
        <v>43790</v>
      </c>
      <c r="E87">
        <v>49506</v>
      </c>
      <c r="F87">
        <v>93296</v>
      </c>
      <c r="G87">
        <v>4273</v>
      </c>
      <c r="H87">
        <v>33860</v>
      </c>
      <c r="I87">
        <v>3.7</v>
      </c>
    </row>
    <row r="88" spans="1:9" ht="16">
      <c r="A88" t="s">
        <v>249</v>
      </c>
      <c r="B88" t="s">
        <v>195</v>
      </c>
      <c r="C88">
        <v>39.9</v>
      </c>
      <c r="D88">
        <v>78932</v>
      </c>
      <c r="E88">
        <v>81582</v>
      </c>
      <c r="F88">
        <v>160514</v>
      </c>
      <c r="G88">
        <v>7426</v>
      </c>
      <c r="H88">
        <v>30008</v>
      </c>
      <c r="I88">
        <v>2.61</v>
      </c>
    </row>
    <row r="89" spans="1:9" ht="16">
      <c r="A89" t="s">
        <v>250</v>
      </c>
      <c r="B89" t="s">
        <v>57</v>
      </c>
      <c r="C89">
        <v>44.8</v>
      </c>
      <c r="D89">
        <v>30890</v>
      </c>
      <c r="E89">
        <v>34375</v>
      </c>
      <c r="F89">
        <v>65265</v>
      </c>
      <c r="G89">
        <v>6601</v>
      </c>
      <c r="H89">
        <v>7024</v>
      </c>
      <c r="I89">
        <v>2.2400000000000002</v>
      </c>
    </row>
    <row r="90" spans="1:9" ht="16">
      <c r="A90" t="s">
        <v>251</v>
      </c>
      <c r="B90" t="s">
        <v>32</v>
      </c>
      <c r="C90">
        <v>34.4</v>
      </c>
      <c r="D90">
        <v>31248</v>
      </c>
      <c r="E90">
        <v>33589</v>
      </c>
      <c r="F90">
        <v>64837</v>
      </c>
      <c r="G90">
        <v>3090</v>
      </c>
      <c r="H90">
        <v>5207</v>
      </c>
      <c r="I90">
        <v>3.05</v>
      </c>
    </row>
    <row r="91" spans="1:9" ht="16">
      <c r="A91" t="s">
        <v>252</v>
      </c>
      <c r="B91" t="s">
        <v>74</v>
      </c>
      <c r="C91">
        <v>36.200000000000003</v>
      </c>
      <c r="D91">
        <v>63109</v>
      </c>
      <c r="E91">
        <v>67296</v>
      </c>
      <c r="F91">
        <v>130405</v>
      </c>
      <c r="G91">
        <v>7823</v>
      </c>
      <c r="H91">
        <v>5404</v>
      </c>
      <c r="I91">
        <v>2.3199999999999998</v>
      </c>
    </row>
    <row r="92" spans="1:9" ht="16">
      <c r="A92" t="s">
        <v>253</v>
      </c>
      <c r="B92" t="s">
        <v>41</v>
      </c>
      <c r="C92">
        <v>42.4</v>
      </c>
      <c r="D92">
        <v>53222</v>
      </c>
      <c r="E92">
        <v>56504</v>
      </c>
      <c r="F92">
        <v>109726</v>
      </c>
      <c r="G92">
        <v>7226</v>
      </c>
      <c r="H92">
        <v>9501</v>
      </c>
      <c r="I92">
        <v>2.66</v>
      </c>
    </row>
    <row r="93" spans="1:9" ht="16">
      <c r="A93" t="s">
        <v>254</v>
      </c>
      <c r="B93" t="s">
        <v>61</v>
      </c>
      <c r="C93">
        <v>36</v>
      </c>
      <c r="D93">
        <v>34749</v>
      </c>
      <c r="E93">
        <v>37033</v>
      </c>
      <c r="F93">
        <v>71782</v>
      </c>
      <c r="G93">
        <v>3779</v>
      </c>
      <c r="H93">
        <v>27797</v>
      </c>
      <c r="I93">
        <v>2.97</v>
      </c>
    </row>
    <row r="94" spans="1:9" ht="16">
      <c r="A94" t="s">
        <v>255</v>
      </c>
      <c r="B94" t="s">
        <v>63</v>
      </c>
      <c r="C94">
        <v>28.7</v>
      </c>
      <c r="D94">
        <v>43326</v>
      </c>
      <c r="E94">
        <v>42760</v>
      </c>
      <c r="F94">
        <v>86086</v>
      </c>
      <c r="G94">
        <v>3734</v>
      </c>
      <c r="H94">
        <v>12261</v>
      </c>
      <c r="I94">
        <v>2.25</v>
      </c>
    </row>
    <row r="95" spans="1:9" ht="16">
      <c r="A95" t="s">
        <v>58</v>
      </c>
      <c r="B95" t="s">
        <v>57</v>
      </c>
      <c r="C95">
        <v>35.6</v>
      </c>
      <c r="D95">
        <v>128885</v>
      </c>
      <c r="E95">
        <v>131948</v>
      </c>
      <c r="F95">
        <v>260833</v>
      </c>
      <c r="G95">
        <v>15870</v>
      </c>
      <c r="H95">
        <v>38721</v>
      </c>
      <c r="I95">
        <v>2.78</v>
      </c>
    </row>
    <row r="96" spans="1:9" ht="16">
      <c r="A96" t="s">
        <v>256</v>
      </c>
      <c r="B96" t="s">
        <v>257</v>
      </c>
      <c r="C96">
        <v>35</v>
      </c>
      <c r="D96">
        <v>63956</v>
      </c>
      <c r="E96">
        <v>71568</v>
      </c>
      <c r="F96">
        <v>135524</v>
      </c>
      <c r="G96">
        <v>9368</v>
      </c>
      <c r="H96">
        <v>5767</v>
      </c>
      <c r="I96">
        <v>2.4</v>
      </c>
    </row>
    <row r="97" spans="1:9" ht="16">
      <c r="A97" t="s">
        <v>258</v>
      </c>
      <c r="B97" t="s">
        <v>195</v>
      </c>
      <c r="C97">
        <v>34.299999999999997</v>
      </c>
      <c r="D97">
        <v>396646</v>
      </c>
      <c r="E97">
        <v>430475</v>
      </c>
      <c r="F97">
        <v>827121</v>
      </c>
      <c r="G97">
        <v>36046</v>
      </c>
      <c r="H97">
        <v>128897</v>
      </c>
      <c r="I97">
        <v>2.52</v>
      </c>
    </row>
    <row r="98" spans="1:9" ht="16">
      <c r="A98" t="s">
        <v>259</v>
      </c>
      <c r="B98" t="s">
        <v>111</v>
      </c>
      <c r="C98">
        <v>36.6</v>
      </c>
      <c r="D98">
        <v>83640</v>
      </c>
      <c r="E98">
        <v>92957</v>
      </c>
      <c r="F98">
        <v>176597</v>
      </c>
      <c r="G98">
        <v>10001</v>
      </c>
      <c r="H98">
        <v>10599</v>
      </c>
      <c r="I98">
        <v>2.4</v>
      </c>
    </row>
    <row r="99" spans="1:9" ht="16">
      <c r="A99" t="s">
        <v>260</v>
      </c>
      <c r="B99" t="s">
        <v>43</v>
      </c>
      <c r="C99">
        <v>40.700000000000003</v>
      </c>
      <c r="D99">
        <v>37476</v>
      </c>
      <c r="E99">
        <v>38599</v>
      </c>
      <c r="F99">
        <v>76075</v>
      </c>
      <c r="G99">
        <v>5408</v>
      </c>
      <c r="H99">
        <v>3532</v>
      </c>
      <c r="I99">
        <v>2.2999999999999998</v>
      </c>
    </row>
    <row r="100" spans="1:9" ht="16">
      <c r="A100" t="s">
        <v>62</v>
      </c>
      <c r="B100" t="s">
        <v>61</v>
      </c>
      <c r="C100">
        <v>36.700000000000003</v>
      </c>
      <c r="D100">
        <v>114964</v>
      </c>
      <c r="E100">
        <v>120465</v>
      </c>
      <c r="F100">
        <v>235429</v>
      </c>
      <c r="G100">
        <v>29772</v>
      </c>
      <c r="H100">
        <v>13966</v>
      </c>
      <c r="I100">
        <v>2.73</v>
      </c>
    </row>
    <row r="101" spans="1:9" ht="16">
      <c r="A101" t="s">
        <v>64</v>
      </c>
      <c r="B101" t="s">
        <v>63</v>
      </c>
      <c r="C101">
        <v>34.200000000000003</v>
      </c>
      <c r="D101">
        <v>1320015</v>
      </c>
      <c r="E101">
        <v>1400541</v>
      </c>
      <c r="F101">
        <v>2720556</v>
      </c>
      <c r="G101">
        <v>72042</v>
      </c>
      <c r="H101">
        <v>573463</v>
      </c>
      <c r="I101">
        <v>2.5299999999999998</v>
      </c>
    </row>
    <row r="102" spans="1:9" ht="16">
      <c r="A102" t="s">
        <v>261</v>
      </c>
      <c r="B102" t="s">
        <v>30</v>
      </c>
      <c r="C102">
        <v>29.9</v>
      </c>
      <c r="D102">
        <v>46168</v>
      </c>
      <c r="E102">
        <v>44168</v>
      </c>
      <c r="F102">
        <v>90336</v>
      </c>
      <c r="G102">
        <v>4519</v>
      </c>
      <c r="H102">
        <v>8425</v>
      </c>
      <c r="I102">
        <v>2.5</v>
      </c>
    </row>
    <row r="103" spans="1:9" ht="16">
      <c r="A103" t="s">
        <v>262</v>
      </c>
      <c r="B103" t="s">
        <v>30</v>
      </c>
      <c r="C103">
        <v>36.5</v>
      </c>
      <c r="D103">
        <v>50989</v>
      </c>
      <c r="E103">
        <v>34610</v>
      </c>
      <c r="F103">
        <v>85599</v>
      </c>
      <c r="G103">
        <v>4186</v>
      </c>
      <c r="H103">
        <v>18666</v>
      </c>
      <c r="I103">
        <v>3.62</v>
      </c>
    </row>
    <row r="104" spans="1:9" ht="16">
      <c r="A104" t="s">
        <v>263</v>
      </c>
      <c r="B104" t="s">
        <v>30</v>
      </c>
      <c r="C104">
        <v>41.9</v>
      </c>
      <c r="D104">
        <v>39639</v>
      </c>
      <c r="E104">
        <v>38674</v>
      </c>
      <c r="F104">
        <v>78313</v>
      </c>
      <c r="G104">
        <v>3358</v>
      </c>
      <c r="H104">
        <v>24764</v>
      </c>
      <c r="I104">
        <v>3.05</v>
      </c>
    </row>
    <row r="105" spans="1:9" ht="16">
      <c r="A105" t="s">
        <v>65</v>
      </c>
      <c r="B105" t="s">
        <v>30</v>
      </c>
      <c r="C105">
        <v>34.6</v>
      </c>
      <c r="D105">
        <v>131485</v>
      </c>
      <c r="E105">
        <v>134269</v>
      </c>
      <c r="F105">
        <v>265754</v>
      </c>
      <c r="G105">
        <v>12368</v>
      </c>
      <c r="H105">
        <v>82710</v>
      </c>
      <c r="I105">
        <v>3.32</v>
      </c>
    </row>
    <row r="106" spans="1:9" ht="16">
      <c r="A106" t="s">
        <v>264</v>
      </c>
      <c r="B106" t="s">
        <v>63</v>
      </c>
      <c r="C106">
        <v>28.5</v>
      </c>
      <c r="D106">
        <v>43153</v>
      </c>
      <c r="E106">
        <v>40714</v>
      </c>
      <c r="F106">
        <v>83867</v>
      </c>
      <c r="G106">
        <v>629</v>
      </c>
      <c r="H106">
        <v>33801</v>
      </c>
      <c r="I106">
        <v>3.89</v>
      </c>
    </row>
    <row r="107" spans="1:9" ht="16">
      <c r="A107" t="s">
        <v>67</v>
      </c>
      <c r="B107" t="s">
        <v>66</v>
      </c>
      <c r="C107">
        <v>32.700000000000003</v>
      </c>
      <c r="D107">
        <v>143654</v>
      </c>
      <c r="E107">
        <v>154883</v>
      </c>
      <c r="F107">
        <v>298537</v>
      </c>
      <c r="G107">
        <v>13699</v>
      </c>
      <c r="H107">
        <v>16896</v>
      </c>
      <c r="I107">
        <v>2.08</v>
      </c>
    </row>
    <row r="108" spans="1:9" ht="16">
      <c r="A108" t="s">
        <v>265</v>
      </c>
      <c r="B108" t="s">
        <v>30</v>
      </c>
      <c r="C108">
        <v>37.799999999999997</v>
      </c>
      <c r="D108">
        <v>41982</v>
      </c>
      <c r="E108">
        <v>45071</v>
      </c>
      <c r="F108">
        <v>87053</v>
      </c>
      <c r="G108">
        <v>6171</v>
      </c>
      <c r="H108">
        <v>9466</v>
      </c>
      <c r="I108">
        <v>2.4900000000000002</v>
      </c>
    </row>
    <row r="109" spans="1:9" ht="16">
      <c r="A109" t="s">
        <v>266</v>
      </c>
      <c r="B109" t="s">
        <v>111</v>
      </c>
      <c r="C109">
        <v>29.7</v>
      </c>
      <c r="D109">
        <v>75029</v>
      </c>
      <c r="E109">
        <v>74161</v>
      </c>
      <c r="F109">
        <v>149190</v>
      </c>
      <c r="G109">
        <v>20803</v>
      </c>
      <c r="H109">
        <v>8211</v>
      </c>
      <c r="I109">
        <v>2.64</v>
      </c>
    </row>
    <row r="110" spans="1:9" ht="16">
      <c r="A110" t="s">
        <v>267</v>
      </c>
      <c r="B110" t="s">
        <v>39</v>
      </c>
      <c r="C110">
        <v>47</v>
      </c>
      <c r="D110">
        <v>55225</v>
      </c>
      <c r="E110">
        <v>57754</v>
      </c>
      <c r="F110">
        <v>112979</v>
      </c>
      <c r="G110">
        <v>10631</v>
      </c>
      <c r="H110">
        <v>17686</v>
      </c>
      <c r="I110">
        <v>2.4</v>
      </c>
    </row>
    <row r="111" spans="1:9" ht="16">
      <c r="A111" t="s">
        <v>68</v>
      </c>
      <c r="B111" t="s">
        <v>66</v>
      </c>
      <c r="C111">
        <v>36</v>
      </c>
      <c r="D111">
        <v>186436</v>
      </c>
      <c r="E111">
        <v>201623</v>
      </c>
      <c r="F111">
        <v>388059</v>
      </c>
      <c r="G111">
        <v>19849</v>
      </c>
      <c r="H111">
        <v>18830</v>
      </c>
      <c r="I111">
        <v>2.2400000000000002</v>
      </c>
    </row>
    <row r="112" spans="1:9" ht="16">
      <c r="A112" t="s">
        <v>268</v>
      </c>
      <c r="B112" t="s">
        <v>99</v>
      </c>
      <c r="C112">
        <v>38.5</v>
      </c>
      <c r="D112">
        <v>41932</v>
      </c>
      <c r="E112">
        <v>44409</v>
      </c>
      <c r="F112">
        <v>86341</v>
      </c>
      <c r="G112">
        <v>2603</v>
      </c>
      <c r="H112">
        <v>27979</v>
      </c>
      <c r="I112">
        <v>3.11</v>
      </c>
    </row>
    <row r="113" spans="1:9" ht="16">
      <c r="A113" t="s">
        <v>269</v>
      </c>
      <c r="B113" t="s">
        <v>30</v>
      </c>
      <c r="C113">
        <v>37.799999999999997</v>
      </c>
      <c r="D113">
        <v>52392</v>
      </c>
      <c r="E113">
        <v>51780</v>
      </c>
      <c r="F113">
        <v>104172</v>
      </c>
      <c r="G113">
        <v>6173</v>
      </c>
      <c r="H113">
        <v>13409</v>
      </c>
      <c r="I113">
        <v>2.76</v>
      </c>
    </row>
    <row r="114" spans="1:9" ht="16">
      <c r="A114" t="s">
        <v>270</v>
      </c>
      <c r="B114" t="s">
        <v>32</v>
      </c>
      <c r="C114">
        <v>22.9</v>
      </c>
      <c r="D114">
        <v>54125</v>
      </c>
      <c r="E114">
        <v>53774</v>
      </c>
      <c r="F114">
        <v>107899</v>
      </c>
      <c r="G114">
        <v>2471</v>
      </c>
      <c r="H114">
        <v>16145</v>
      </c>
      <c r="I114">
        <v>2.52</v>
      </c>
    </row>
    <row r="115" spans="1:9" ht="16">
      <c r="A115" t="s">
        <v>69</v>
      </c>
      <c r="B115" t="s">
        <v>41</v>
      </c>
      <c r="C115">
        <v>34.799999999999997</v>
      </c>
      <c r="D115">
        <v>225544</v>
      </c>
      <c r="E115">
        <v>231018</v>
      </c>
      <c r="F115">
        <v>456562</v>
      </c>
      <c r="G115">
        <v>49291</v>
      </c>
      <c r="H115">
        <v>35320</v>
      </c>
      <c r="I115">
        <v>2.48</v>
      </c>
    </row>
    <row r="116" spans="1:9" ht="16">
      <c r="A116" t="s">
        <v>271</v>
      </c>
      <c r="B116" t="s">
        <v>48</v>
      </c>
      <c r="C116">
        <v>37.9</v>
      </c>
      <c r="D116">
        <v>52202</v>
      </c>
      <c r="E116">
        <v>51265</v>
      </c>
      <c r="F116">
        <v>103467</v>
      </c>
      <c r="G116">
        <v>6526</v>
      </c>
      <c r="H116">
        <v>23249</v>
      </c>
      <c r="I116">
        <v>2.68</v>
      </c>
    </row>
    <row r="117" spans="1:9" ht="16">
      <c r="A117" t="s">
        <v>271</v>
      </c>
      <c r="B117" t="s">
        <v>101</v>
      </c>
      <c r="C117">
        <v>26.8</v>
      </c>
      <c r="D117">
        <v>56544</v>
      </c>
      <c r="E117">
        <v>62554</v>
      </c>
      <c r="F117">
        <v>119098</v>
      </c>
      <c r="G117">
        <v>4548</v>
      </c>
      <c r="H117">
        <v>10729</v>
      </c>
      <c r="I117">
        <v>2.37</v>
      </c>
    </row>
    <row r="118" spans="1:9" ht="16">
      <c r="A118" t="s">
        <v>271</v>
      </c>
      <c r="B118" t="s">
        <v>257</v>
      </c>
      <c r="C118">
        <v>28</v>
      </c>
      <c r="D118">
        <v>67686</v>
      </c>
      <c r="E118">
        <v>65707</v>
      </c>
      <c r="F118">
        <v>133393</v>
      </c>
      <c r="G118">
        <v>5708</v>
      </c>
      <c r="H118">
        <v>6074</v>
      </c>
      <c r="I118">
        <v>2.3199999999999998</v>
      </c>
    </row>
    <row r="119" spans="1:9" ht="16">
      <c r="A119" t="s">
        <v>70</v>
      </c>
      <c r="B119" t="s">
        <v>28</v>
      </c>
      <c r="C119">
        <v>33.700000000000003</v>
      </c>
      <c r="D119">
        <v>98785</v>
      </c>
      <c r="E119">
        <v>101794</v>
      </c>
      <c r="F119">
        <v>200579</v>
      </c>
      <c r="G119">
        <v>21747</v>
      </c>
      <c r="H119">
        <v>10376</v>
      </c>
      <c r="I119">
        <v>2.62</v>
      </c>
    </row>
    <row r="120" spans="1:9" ht="16">
      <c r="A120" t="s">
        <v>70</v>
      </c>
      <c r="B120" t="s">
        <v>66</v>
      </c>
      <c r="C120">
        <v>32.5</v>
      </c>
      <c r="D120">
        <v>413981</v>
      </c>
      <c r="E120">
        <v>435086</v>
      </c>
      <c r="F120">
        <v>849067</v>
      </c>
      <c r="G120">
        <v>40238</v>
      </c>
      <c r="H120">
        <v>101129</v>
      </c>
      <c r="I120">
        <v>2.4</v>
      </c>
    </row>
    <row r="121" spans="1:9" ht="16">
      <c r="A121" t="s">
        <v>272</v>
      </c>
      <c r="B121" t="s">
        <v>30</v>
      </c>
      <c r="C121">
        <v>30.1</v>
      </c>
      <c r="D121">
        <v>49264</v>
      </c>
      <c r="E121">
        <v>49184</v>
      </c>
      <c r="F121">
        <v>98448</v>
      </c>
      <c r="G121">
        <v>897</v>
      </c>
      <c r="H121">
        <v>30660</v>
      </c>
      <c r="I121">
        <v>4.08</v>
      </c>
    </row>
    <row r="122" spans="1:9" ht="16">
      <c r="A122" t="s">
        <v>273</v>
      </c>
      <c r="B122" t="s">
        <v>30</v>
      </c>
      <c r="C122">
        <v>39.6</v>
      </c>
      <c r="D122">
        <v>62310</v>
      </c>
      <c r="E122">
        <v>66358</v>
      </c>
      <c r="F122">
        <v>128668</v>
      </c>
      <c r="G122">
        <v>6287</v>
      </c>
      <c r="H122">
        <v>37428</v>
      </c>
      <c r="I122">
        <v>2.72</v>
      </c>
    </row>
    <row r="123" spans="1:9" ht="16">
      <c r="A123" t="s">
        <v>273</v>
      </c>
      <c r="B123" t="s">
        <v>195</v>
      </c>
      <c r="C123">
        <v>35.700000000000003</v>
      </c>
      <c r="D123">
        <v>42732</v>
      </c>
      <c r="E123">
        <v>44961</v>
      </c>
      <c r="F123">
        <v>87693</v>
      </c>
      <c r="G123">
        <v>4621</v>
      </c>
      <c r="H123">
        <v>8847</v>
      </c>
      <c r="I123">
        <v>2.72</v>
      </c>
    </row>
    <row r="124" spans="1:9" ht="16">
      <c r="A124" t="s">
        <v>274</v>
      </c>
      <c r="B124" t="s">
        <v>32</v>
      </c>
      <c r="C124">
        <v>31.5</v>
      </c>
      <c r="D124">
        <v>34907</v>
      </c>
      <c r="E124">
        <v>33685</v>
      </c>
      <c r="F124">
        <v>68592</v>
      </c>
      <c r="G124">
        <v>4871</v>
      </c>
      <c r="H124">
        <v>13839</v>
      </c>
      <c r="I124">
        <v>2.65</v>
      </c>
    </row>
    <row r="125" spans="1:9" ht="16">
      <c r="A125" t="s">
        <v>275</v>
      </c>
      <c r="B125" t="s">
        <v>39</v>
      </c>
      <c r="C125">
        <v>37.200000000000003</v>
      </c>
      <c r="D125">
        <v>63316</v>
      </c>
      <c r="E125">
        <v>66186</v>
      </c>
      <c r="F125">
        <v>129502</v>
      </c>
      <c r="G125">
        <v>4724</v>
      </c>
      <c r="H125">
        <v>38552</v>
      </c>
      <c r="I125">
        <v>3.17</v>
      </c>
    </row>
    <row r="126" spans="1:9" ht="16">
      <c r="A126" t="s">
        <v>276</v>
      </c>
      <c r="B126" t="s">
        <v>30</v>
      </c>
      <c r="C126">
        <v>37.1</v>
      </c>
      <c r="D126">
        <v>79749</v>
      </c>
      <c r="E126">
        <v>84493</v>
      </c>
      <c r="F126">
        <v>164242</v>
      </c>
      <c r="G126">
        <v>7709</v>
      </c>
      <c r="H126">
        <v>42131</v>
      </c>
      <c r="I126">
        <v>2.97</v>
      </c>
    </row>
    <row r="127" spans="1:9" ht="16">
      <c r="A127" t="s">
        <v>71</v>
      </c>
      <c r="B127" t="s">
        <v>32</v>
      </c>
      <c r="C127">
        <v>35</v>
      </c>
      <c r="D127">
        <v>160488</v>
      </c>
      <c r="E127">
        <v>163594</v>
      </c>
      <c r="F127">
        <v>324082</v>
      </c>
      <c r="G127">
        <v>25078</v>
      </c>
      <c r="H127">
        <v>30834</v>
      </c>
      <c r="I127">
        <v>2.69</v>
      </c>
    </row>
    <row r="128" spans="1:9" ht="16">
      <c r="A128" t="s">
        <v>277</v>
      </c>
      <c r="B128" t="s">
        <v>30</v>
      </c>
      <c r="C128">
        <v>34.799999999999997</v>
      </c>
      <c r="D128">
        <v>59097</v>
      </c>
      <c r="E128">
        <v>54089</v>
      </c>
      <c r="F128">
        <v>113186</v>
      </c>
      <c r="G128">
        <v>4095</v>
      </c>
      <c r="H128">
        <v>26645</v>
      </c>
      <c r="I128">
        <v>2.59</v>
      </c>
    </row>
    <row r="129" spans="1:9" ht="16">
      <c r="A129" t="s">
        <v>278</v>
      </c>
      <c r="B129" t="s">
        <v>279</v>
      </c>
      <c r="C129">
        <v>39.9</v>
      </c>
      <c r="D129">
        <v>38365</v>
      </c>
      <c r="E129">
        <v>42712</v>
      </c>
      <c r="F129">
        <v>81077</v>
      </c>
      <c r="G129">
        <v>4702</v>
      </c>
      <c r="H129">
        <v>10631</v>
      </c>
      <c r="I129">
        <v>2.56</v>
      </c>
    </row>
    <row r="130" spans="1:9" ht="16">
      <c r="A130" t="s">
        <v>280</v>
      </c>
      <c r="B130" t="s">
        <v>61</v>
      </c>
      <c r="C130">
        <v>33.4</v>
      </c>
      <c r="D130">
        <v>35984</v>
      </c>
      <c r="E130">
        <v>35415</v>
      </c>
      <c r="F130">
        <v>71399</v>
      </c>
      <c r="G130">
        <v>6085</v>
      </c>
      <c r="H130">
        <v>22306</v>
      </c>
      <c r="I130">
        <v>3.65</v>
      </c>
    </row>
    <row r="131" spans="1:9" ht="16">
      <c r="A131" t="s">
        <v>72</v>
      </c>
      <c r="B131" t="s">
        <v>32</v>
      </c>
      <c r="C131">
        <v>32.6</v>
      </c>
      <c r="D131">
        <v>639019</v>
      </c>
      <c r="E131">
        <v>661063</v>
      </c>
      <c r="F131">
        <v>1300082</v>
      </c>
      <c r="G131">
        <v>41026</v>
      </c>
      <c r="H131">
        <v>326825</v>
      </c>
      <c r="I131">
        <v>2.59</v>
      </c>
    </row>
    <row r="132" spans="1:9" ht="16">
      <c r="A132" t="s">
        <v>281</v>
      </c>
      <c r="B132" t="s">
        <v>30</v>
      </c>
      <c r="C132">
        <v>39.700000000000003</v>
      </c>
      <c r="D132">
        <v>53817</v>
      </c>
      <c r="E132">
        <v>52757</v>
      </c>
      <c r="F132">
        <v>106574</v>
      </c>
      <c r="G132">
        <v>3782</v>
      </c>
      <c r="H132">
        <v>56640</v>
      </c>
      <c r="I132">
        <v>3.26</v>
      </c>
    </row>
    <row r="133" spans="1:9" ht="16">
      <c r="A133" t="s">
        <v>282</v>
      </c>
      <c r="B133" t="s">
        <v>229</v>
      </c>
      <c r="C133">
        <v>37.299999999999997</v>
      </c>
      <c r="D133">
        <v>43435</v>
      </c>
      <c r="E133">
        <v>41227</v>
      </c>
      <c r="F133">
        <v>84662</v>
      </c>
      <c r="G133">
        <v>3752</v>
      </c>
      <c r="H133">
        <v>25675</v>
      </c>
      <c r="I133">
        <v>2.74</v>
      </c>
    </row>
    <row r="134" spans="1:9" ht="16">
      <c r="A134" t="s">
        <v>283</v>
      </c>
      <c r="B134" t="s">
        <v>74</v>
      </c>
      <c r="C134">
        <v>35.200000000000003</v>
      </c>
      <c r="D134">
        <v>50123</v>
      </c>
      <c r="E134">
        <v>52454</v>
      </c>
      <c r="F134">
        <v>102577</v>
      </c>
      <c r="G134">
        <v>7090</v>
      </c>
      <c r="H134">
        <v>4065</v>
      </c>
      <c r="I134">
        <v>2.39</v>
      </c>
    </row>
    <row r="135" spans="1:9" ht="16">
      <c r="A135" t="s">
        <v>284</v>
      </c>
      <c r="B135" t="s">
        <v>39</v>
      </c>
      <c r="C135">
        <v>40.799999999999997</v>
      </c>
      <c r="D135">
        <v>48754</v>
      </c>
      <c r="E135">
        <v>52140</v>
      </c>
      <c r="F135">
        <v>100894</v>
      </c>
      <c r="G135">
        <v>4655</v>
      </c>
      <c r="H135">
        <v>26532</v>
      </c>
      <c r="I135">
        <v>2.72</v>
      </c>
    </row>
    <row r="136" spans="1:9" ht="16">
      <c r="A136" t="s">
        <v>285</v>
      </c>
      <c r="B136" t="s">
        <v>30</v>
      </c>
      <c r="C136">
        <v>26.3</v>
      </c>
      <c r="D136">
        <v>33493</v>
      </c>
      <c r="E136">
        <v>34163</v>
      </c>
      <c r="F136">
        <v>67656</v>
      </c>
      <c r="G136">
        <v>2176</v>
      </c>
      <c r="H136">
        <v>13997</v>
      </c>
      <c r="I136">
        <v>2.69</v>
      </c>
    </row>
    <row r="137" spans="1:9" ht="16">
      <c r="A137" t="s">
        <v>286</v>
      </c>
      <c r="B137" t="s">
        <v>66</v>
      </c>
      <c r="C137">
        <v>32.799999999999997</v>
      </c>
      <c r="D137">
        <v>66631</v>
      </c>
      <c r="E137">
        <v>73966</v>
      </c>
      <c r="F137">
        <v>140597</v>
      </c>
      <c r="G137">
        <v>8465</v>
      </c>
      <c r="H137">
        <v>7381</v>
      </c>
      <c r="I137">
        <v>2.2599999999999998</v>
      </c>
    </row>
    <row r="138" spans="1:9" ht="16">
      <c r="A138" t="s">
        <v>287</v>
      </c>
      <c r="B138" t="s">
        <v>76</v>
      </c>
      <c r="C138">
        <v>33.5</v>
      </c>
      <c r="D138">
        <v>46482</v>
      </c>
      <c r="E138">
        <v>48698</v>
      </c>
      <c r="F138">
        <v>95180</v>
      </c>
      <c r="G138">
        <v>3163</v>
      </c>
      <c r="H138">
        <v>23920</v>
      </c>
      <c r="I138">
        <v>3.04</v>
      </c>
    </row>
    <row r="139" spans="1:9" ht="16">
      <c r="A139" t="s">
        <v>288</v>
      </c>
      <c r="B139" t="s">
        <v>63</v>
      </c>
      <c r="C139">
        <v>40.4</v>
      </c>
      <c r="D139">
        <v>34646</v>
      </c>
      <c r="E139">
        <v>38210</v>
      </c>
      <c r="F139">
        <v>72856</v>
      </c>
      <c r="G139">
        <v>5291</v>
      </c>
      <c r="H139">
        <v>1224</v>
      </c>
      <c r="I139">
        <v>2.23</v>
      </c>
    </row>
    <row r="140" spans="1:9" ht="16">
      <c r="A140" t="s">
        <v>289</v>
      </c>
      <c r="B140" t="s">
        <v>39</v>
      </c>
      <c r="C140">
        <v>41.4</v>
      </c>
      <c r="D140">
        <v>37155</v>
      </c>
      <c r="E140">
        <v>42614</v>
      </c>
      <c r="F140">
        <v>79769</v>
      </c>
      <c r="G140">
        <v>3882</v>
      </c>
      <c r="H140">
        <v>23642</v>
      </c>
      <c r="I140">
        <v>2.46</v>
      </c>
    </row>
    <row r="141" spans="1:9" ht="16">
      <c r="A141" t="s">
        <v>290</v>
      </c>
      <c r="B141" t="s">
        <v>39</v>
      </c>
      <c r="C141">
        <v>47.9</v>
      </c>
      <c r="D141">
        <v>32219</v>
      </c>
      <c r="E141">
        <v>34042</v>
      </c>
      <c r="F141">
        <v>66261</v>
      </c>
      <c r="G141">
        <v>4232</v>
      </c>
      <c r="H141">
        <v>16639</v>
      </c>
      <c r="I141">
        <v>2.35</v>
      </c>
    </row>
    <row r="142" spans="1:9" ht="16">
      <c r="A142" t="s">
        <v>291</v>
      </c>
      <c r="B142" t="s">
        <v>39</v>
      </c>
      <c r="C142">
        <v>39.9</v>
      </c>
      <c r="D142">
        <v>44853</v>
      </c>
      <c r="E142">
        <v>43621</v>
      </c>
      <c r="F142">
        <v>88474</v>
      </c>
      <c r="G142">
        <v>5664</v>
      </c>
      <c r="H142">
        <v>7098</v>
      </c>
      <c r="I142">
        <v>2.89</v>
      </c>
    </row>
    <row r="143" spans="1:9" ht="16">
      <c r="A143" t="s">
        <v>292</v>
      </c>
      <c r="B143" t="s">
        <v>32</v>
      </c>
      <c r="C143">
        <v>28.7</v>
      </c>
      <c r="D143">
        <v>62478</v>
      </c>
      <c r="E143">
        <v>68569</v>
      </c>
      <c r="F143">
        <v>131047</v>
      </c>
      <c r="G143">
        <v>6352</v>
      </c>
      <c r="H143">
        <v>18451</v>
      </c>
      <c r="I143">
        <v>2.66</v>
      </c>
    </row>
    <row r="144" spans="1:9" ht="16">
      <c r="A144" t="s">
        <v>73</v>
      </c>
      <c r="B144" t="s">
        <v>41</v>
      </c>
      <c r="C144">
        <v>34.1</v>
      </c>
      <c r="D144">
        <v>341137</v>
      </c>
      <c r="E144">
        <v>341408</v>
      </c>
      <c r="F144">
        <v>682545</v>
      </c>
      <c r="G144">
        <v>29363</v>
      </c>
      <c r="H144">
        <v>113222</v>
      </c>
      <c r="I144">
        <v>2.33</v>
      </c>
    </row>
    <row r="145" spans="1:9" ht="16">
      <c r="A145" t="s">
        <v>75</v>
      </c>
      <c r="B145" t="s">
        <v>74</v>
      </c>
      <c r="C145">
        <v>34.5</v>
      </c>
      <c r="D145">
        <v>103726</v>
      </c>
      <c r="E145">
        <v>106591</v>
      </c>
      <c r="F145">
        <v>210317</v>
      </c>
      <c r="G145">
        <v>11780</v>
      </c>
      <c r="H145">
        <v>23857</v>
      </c>
      <c r="I145">
        <v>2.41</v>
      </c>
    </row>
    <row r="146" spans="1:9" ht="16">
      <c r="A146" t="s">
        <v>77</v>
      </c>
      <c r="B146" t="s">
        <v>76</v>
      </c>
      <c r="C146">
        <v>34.799999999999997</v>
      </c>
      <c r="D146">
        <v>319265</v>
      </c>
      <c r="E146">
        <v>357859</v>
      </c>
      <c r="F146">
        <v>677124</v>
      </c>
      <c r="G146">
        <v>29511</v>
      </c>
      <c r="H146">
        <v>39861</v>
      </c>
      <c r="I146">
        <v>2.6</v>
      </c>
    </row>
    <row r="147" spans="1:9" ht="16">
      <c r="A147" t="s">
        <v>293</v>
      </c>
      <c r="B147" t="s">
        <v>117</v>
      </c>
      <c r="C147">
        <v>38.9</v>
      </c>
      <c r="D147">
        <v>32172</v>
      </c>
      <c r="E147">
        <v>35364</v>
      </c>
      <c r="F147">
        <v>67536</v>
      </c>
      <c r="G147">
        <v>6334</v>
      </c>
      <c r="H147">
        <v>1699</v>
      </c>
      <c r="I147">
        <v>2.59</v>
      </c>
    </row>
    <row r="148" spans="1:9" ht="16">
      <c r="A148" t="s">
        <v>294</v>
      </c>
      <c r="B148" t="s">
        <v>30</v>
      </c>
      <c r="C148">
        <v>37.299999999999997</v>
      </c>
      <c r="D148">
        <v>53006</v>
      </c>
      <c r="E148">
        <v>61205</v>
      </c>
      <c r="F148">
        <v>114211</v>
      </c>
      <c r="G148">
        <v>2281</v>
      </c>
      <c r="H148">
        <v>39977</v>
      </c>
      <c r="I148">
        <v>3.45</v>
      </c>
    </row>
    <row r="149" spans="1:9" ht="16">
      <c r="A149" t="s">
        <v>295</v>
      </c>
      <c r="B149" t="s">
        <v>115</v>
      </c>
      <c r="C149">
        <v>34.700000000000003</v>
      </c>
      <c r="D149">
        <v>41271</v>
      </c>
      <c r="E149">
        <v>44855</v>
      </c>
      <c r="F149">
        <v>86126</v>
      </c>
      <c r="G149">
        <v>5015</v>
      </c>
      <c r="H149">
        <v>2258</v>
      </c>
      <c r="I149">
        <v>2.25</v>
      </c>
    </row>
    <row r="150" spans="1:9" ht="16">
      <c r="A150" t="s">
        <v>78</v>
      </c>
      <c r="B150" t="s">
        <v>195</v>
      </c>
      <c r="C150">
        <v>33.200000000000003</v>
      </c>
      <c r="D150">
        <v>121153</v>
      </c>
      <c r="E150">
        <v>136445</v>
      </c>
      <c r="F150">
        <v>257598</v>
      </c>
      <c r="G150">
        <v>12528</v>
      </c>
      <c r="H150">
        <v>38642</v>
      </c>
      <c r="I150">
        <v>2.4</v>
      </c>
    </row>
    <row r="151" spans="1:9" ht="16">
      <c r="A151" t="s">
        <v>296</v>
      </c>
      <c r="B151" t="s">
        <v>115</v>
      </c>
      <c r="C151">
        <v>36.799999999999997</v>
      </c>
      <c r="D151">
        <v>31587</v>
      </c>
      <c r="E151">
        <v>34701</v>
      </c>
      <c r="F151">
        <v>66288</v>
      </c>
      <c r="G151">
        <v>2699</v>
      </c>
      <c r="H151">
        <v>8642</v>
      </c>
      <c r="I151">
        <v>2.4900000000000002</v>
      </c>
    </row>
    <row r="152" spans="1:9" ht="16">
      <c r="A152" t="s">
        <v>297</v>
      </c>
      <c r="B152" t="s">
        <v>30</v>
      </c>
      <c r="C152">
        <v>32.6</v>
      </c>
      <c r="D152">
        <v>60460</v>
      </c>
      <c r="E152">
        <v>59206</v>
      </c>
      <c r="F152">
        <v>119666</v>
      </c>
      <c r="G152">
        <v>1101</v>
      </c>
      <c r="H152">
        <v>49575</v>
      </c>
      <c r="I152">
        <v>3.75</v>
      </c>
    </row>
    <row r="153" spans="1:9" ht="16">
      <c r="A153" t="s">
        <v>298</v>
      </c>
      <c r="B153" t="s">
        <v>99</v>
      </c>
      <c r="C153">
        <v>35.5</v>
      </c>
      <c r="D153">
        <v>29995</v>
      </c>
      <c r="E153">
        <v>34967</v>
      </c>
      <c r="F153">
        <v>64962</v>
      </c>
      <c r="G153">
        <v>1870</v>
      </c>
      <c r="H153">
        <v>15164</v>
      </c>
      <c r="I153">
        <v>2.85</v>
      </c>
    </row>
    <row r="154" spans="1:9" ht="16">
      <c r="A154" t="s">
        <v>299</v>
      </c>
      <c r="B154" t="s">
        <v>109</v>
      </c>
      <c r="C154">
        <v>32</v>
      </c>
      <c r="D154">
        <v>32327</v>
      </c>
      <c r="E154">
        <v>35106</v>
      </c>
      <c r="F154">
        <v>67433</v>
      </c>
      <c r="G154">
        <v>3261</v>
      </c>
      <c r="H154">
        <v>2833</v>
      </c>
      <c r="I154">
        <v>2.4</v>
      </c>
    </row>
    <row r="155" spans="1:9" ht="16">
      <c r="A155" t="s">
        <v>300</v>
      </c>
      <c r="B155" t="s">
        <v>32</v>
      </c>
      <c r="C155">
        <v>29.3</v>
      </c>
      <c r="D155">
        <v>39422</v>
      </c>
      <c r="E155">
        <v>45079</v>
      </c>
      <c r="F155">
        <v>84501</v>
      </c>
      <c r="G155">
        <v>2409</v>
      </c>
      <c r="H155">
        <v>16569</v>
      </c>
      <c r="I155">
        <v>3.31</v>
      </c>
    </row>
    <row r="156" spans="1:9" ht="16">
      <c r="A156" t="s">
        <v>301</v>
      </c>
      <c r="B156" t="s">
        <v>125</v>
      </c>
      <c r="C156">
        <v>32.5</v>
      </c>
      <c r="D156">
        <v>45191</v>
      </c>
      <c r="E156">
        <v>44899</v>
      </c>
      <c r="F156">
        <v>90090</v>
      </c>
      <c r="G156">
        <v>5006</v>
      </c>
      <c r="H156">
        <v>5585</v>
      </c>
      <c r="I156">
        <v>2.68</v>
      </c>
    </row>
    <row r="157" spans="1:9" ht="16">
      <c r="A157" t="s">
        <v>302</v>
      </c>
      <c r="B157" t="s">
        <v>30</v>
      </c>
      <c r="C157">
        <v>32.700000000000003</v>
      </c>
      <c r="D157">
        <v>54450</v>
      </c>
      <c r="E157">
        <v>49238</v>
      </c>
      <c r="F157">
        <v>103688</v>
      </c>
      <c r="G157">
        <v>7103</v>
      </c>
      <c r="H157">
        <v>31865</v>
      </c>
      <c r="I157">
        <v>3.14</v>
      </c>
    </row>
    <row r="158" spans="1:9" ht="16">
      <c r="A158" t="s">
        <v>303</v>
      </c>
      <c r="B158" t="s">
        <v>30</v>
      </c>
      <c r="C158">
        <v>37.299999999999997</v>
      </c>
      <c r="D158">
        <v>57961</v>
      </c>
      <c r="E158">
        <v>58784</v>
      </c>
      <c r="F158">
        <v>116745</v>
      </c>
      <c r="G158">
        <v>1686</v>
      </c>
      <c r="H158">
        <v>59655</v>
      </c>
      <c r="I158">
        <v>3.67</v>
      </c>
    </row>
    <row r="159" spans="1:9" ht="16">
      <c r="A159" t="s">
        <v>79</v>
      </c>
      <c r="B159" t="s">
        <v>32</v>
      </c>
      <c r="C159">
        <v>33.1</v>
      </c>
      <c r="D159">
        <v>332797</v>
      </c>
      <c r="E159">
        <v>348339</v>
      </c>
      <c r="F159">
        <v>681136</v>
      </c>
      <c r="G159">
        <v>47693</v>
      </c>
      <c r="H159">
        <v>159709</v>
      </c>
      <c r="I159">
        <v>3.03</v>
      </c>
    </row>
    <row r="160" spans="1:9" ht="16">
      <c r="A160" t="s">
        <v>304</v>
      </c>
      <c r="B160" t="s">
        <v>63</v>
      </c>
      <c r="C160">
        <v>35.700000000000003</v>
      </c>
      <c r="D160">
        <v>54852</v>
      </c>
      <c r="E160">
        <v>56224</v>
      </c>
      <c r="F160">
        <v>111076</v>
      </c>
      <c r="G160">
        <v>4024</v>
      </c>
      <c r="H160">
        <v>30167</v>
      </c>
      <c r="I160">
        <v>2.97</v>
      </c>
    </row>
    <row r="161" spans="1:9" ht="16">
      <c r="A161" t="s">
        <v>305</v>
      </c>
      <c r="B161" t="s">
        <v>99</v>
      </c>
      <c r="C161">
        <v>34.200000000000003</v>
      </c>
      <c r="D161">
        <v>65896</v>
      </c>
      <c r="E161">
        <v>63116</v>
      </c>
      <c r="F161">
        <v>129012</v>
      </c>
      <c r="G161">
        <v>1131</v>
      </c>
      <c r="H161">
        <v>63413</v>
      </c>
      <c r="I161">
        <v>3.18</v>
      </c>
    </row>
    <row r="162" spans="1:9" ht="16">
      <c r="A162" t="s">
        <v>306</v>
      </c>
      <c r="B162" t="s">
        <v>30</v>
      </c>
      <c r="C162">
        <v>36.1</v>
      </c>
      <c r="D162">
        <v>80057</v>
      </c>
      <c r="E162">
        <v>86833</v>
      </c>
      <c r="F162">
        <v>166890</v>
      </c>
      <c r="G162">
        <v>7762</v>
      </c>
      <c r="H162">
        <v>38693</v>
      </c>
      <c r="I162">
        <v>3.34</v>
      </c>
    </row>
    <row r="163" spans="1:9" ht="16">
      <c r="A163" t="s">
        <v>307</v>
      </c>
      <c r="B163" t="s">
        <v>48</v>
      </c>
      <c r="C163">
        <v>42.4</v>
      </c>
      <c r="D163">
        <v>34406</v>
      </c>
      <c r="E163">
        <v>36526</v>
      </c>
      <c r="F163">
        <v>70932</v>
      </c>
      <c r="G163">
        <v>3856</v>
      </c>
      <c r="H163">
        <v>17587</v>
      </c>
      <c r="I163">
        <v>2.73</v>
      </c>
    </row>
    <row r="164" spans="1:9" ht="16">
      <c r="A164" t="s">
        <v>308</v>
      </c>
      <c r="B164" t="s">
        <v>89</v>
      </c>
      <c r="C164">
        <v>34.1</v>
      </c>
      <c r="D164">
        <v>69146</v>
      </c>
      <c r="E164">
        <v>66328</v>
      </c>
      <c r="F164">
        <v>135474</v>
      </c>
      <c r="G164">
        <v>7526</v>
      </c>
      <c r="H164">
        <v>31173</v>
      </c>
      <c r="I164">
        <v>2.89</v>
      </c>
    </row>
    <row r="165" spans="1:9" ht="16">
      <c r="A165" t="s">
        <v>309</v>
      </c>
      <c r="B165" t="s">
        <v>44</v>
      </c>
      <c r="C165">
        <v>35.299999999999997</v>
      </c>
      <c r="D165">
        <v>48618</v>
      </c>
      <c r="E165">
        <v>50852</v>
      </c>
      <c r="F165">
        <v>99470</v>
      </c>
      <c r="G165">
        <v>7093</v>
      </c>
      <c r="H165">
        <v>6275</v>
      </c>
      <c r="I165">
        <v>2.31</v>
      </c>
    </row>
    <row r="166" spans="1:9" ht="16">
      <c r="A166" t="s">
        <v>310</v>
      </c>
      <c r="B166" t="s">
        <v>30</v>
      </c>
      <c r="C166">
        <v>33.299999999999997</v>
      </c>
      <c r="D166">
        <v>76551</v>
      </c>
      <c r="E166">
        <v>74907</v>
      </c>
      <c r="F166">
        <v>151458</v>
      </c>
      <c r="G166">
        <v>8110</v>
      </c>
      <c r="H166">
        <v>46298</v>
      </c>
      <c r="I166">
        <v>3.27</v>
      </c>
    </row>
    <row r="167" spans="1:9" ht="16">
      <c r="A167" t="s">
        <v>311</v>
      </c>
      <c r="B167" t="s">
        <v>133</v>
      </c>
      <c r="C167">
        <v>33.4</v>
      </c>
      <c r="D167">
        <v>79071</v>
      </c>
      <c r="E167">
        <v>84377</v>
      </c>
      <c r="F167">
        <v>163448</v>
      </c>
      <c r="G167">
        <v>8896</v>
      </c>
      <c r="H167">
        <v>14503</v>
      </c>
      <c r="I167">
        <v>2.34</v>
      </c>
    </row>
    <row r="168" spans="1:9" ht="16">
      <c r="A168" t="s">
        <v>312</v>
      </c>
      <c r="B168" t="s">
        <v>63</v>
      </c>
      <c r="C168">
        <v>36.799999999999997</v>
      </c>
      <c r="D168">
        <v>34146</v>
      </c>
      <c r="E168">
        <v>41377</v>
      </c>
      <c r="F168">
        <v>75523</v>
      </c>
      <c r="G168">
        <v>2058</v>
      </c>
      <c r="H168">
        <v>15003</v>
      </c>
      <c r="I168">
        <v>2.29</v>
      </c>
    </row>
    <row r="169" spans="1:9" ht="16">
      <c r="A169" t="s">
        <v>313</v>
      </c>
      <c r="B169" t="s">
        <v>80</v>
      </c>
      <c r="C169">
        <v>38</v>
      </c>
      <c r="D169">
        <v>57198</v>
      </c>
      <c r="E169">
        <v>60481</v>
      </c>
      <c r="F169">
        <v>117679</v>
      </c>
      <c r="G169">
        <v>9063</v>
      </c>
      <c r="H169">
        <v>3169</v>
      </c>
      <c r="I169">
        <v>2.25</v>
      </c>
    </row>
    <row r="170" spans="1:9" ht="16">
      <c r="A170" t="s">
        <v>314</v>
      </c>
      <c r="B170" t="s">
        <v>146</v>
      </c>
      <c r="C170">
        <v>37</v>
      </c>
      <c r="D170">
        <v>56212</v>
      </c>
      <c r="E170">
        <v>51800</v>
      </c>
      <c r="F170">
        <v>108012</v>
      </c>
      <c r="G170">
        <v>7880</v>
      </c>
      <c r="H170">
        <v>19499</v>
      </c>
      <c r="I170">
        <v>2.36</v>
      </c>
    </row>
    <row r="171" spans="1:9" ht="16">
      <c r="A171" t="s">
        <v>315</v>
      </c>
      <c r="B171" t="s">
        <v>30</v>
      </c>
      <c r="C171">
        <v>34.700000000000003</v>
      </c>
      <c r="D171">
        <v>55550</v>
      </c>
      <c r="E171">
        <v>57422</v>
      </c>
      <c r="F171">
        <v>112972</v>
      </c>
      <c r="G171">
        <v>8607</v>
      </c>
      <c r="H171">
        <v>24503</v>
      </c>
      <c r="I171">
        <v>3.14</v>
      </c>
    </row>
    <row r="172" spans="1:9" ht="16">
      <c r="A172" t="s">
        <v>316</v>
      </c>
      <c r="B172" t="s">
        <v>36</v>
      </c>
      <c r="C172">
        <v>39.299999999999997</v>
      </c>
      <c r="D172">
        <v>43314</v>
      </c>
      <c r="E172">
        <v>45456</v>
      </c>
      <c r="F172">
        <v>88770</v>
      </c>
      <c r="G172">
        <v>4143</v>
      </c>
      <c r="H172">
        <v>14775</v>
      </c>
      <c r="I172">
        <v>2.21</v>
      </c>
    </row>
    <row r="173" spans="1:9" ht="16">
      <c r="A173" t="s">
        <v>317</v>
      </c>
      <c r="B173" t="s">
        <v>218</v>
      </c>
      <c r="C173">
        <v>30.7</v>
      </c>
      <c r="D173">
        <v>60560</v>
      </c>
      <c r="E173">
        <v>58690</v>
      </c>
      <c r="F173">
        <v>119250</v>
      </c>
      <c r="G173">
        <v>6154</v>
      </c>
      <c r="H173">
        <v>9428</v>
      </c>
      <c r="I173">
        <v>2.1800000000000002</v>
      </c>
    </row>
    <row r="174" spans="1:9" ht="16">
      <c r="A174" t="s">
        <v>318</v>
      </c>
      <c r="B174" t="s">
        <v>76</v>
      </c>
      <c r="C174">
        <v>42.1</v>
      </c>
      <c r="D174">
        <v>37527</v>
      </c>
      <c r="E174">
        <v>43805</v>
      </c>
      <c r="F174">
        <v>81332</v>
      </c>
      <c r="G174">
        <v>3650</v>
      </c>
      <c r="H174">
        <v>18033</v>
      </c>
      <c r="I174">
        <v>2.41</v>
      </c>
    </row>
    <row r="175" spans="1:9" ht="16">
      <c r="A175" t="s">
        <v>319</v>
      </c>
      <c r="B175" t="s">
        <v>195</v>
      </c>
      <c r="C175">
        <v>30.7</v>
      </c>
      <c r="D175">
        <v>101051</v>
      </c>
      <c r="E175">
        <v>100914</v>
      </c>
      <c r="F175">
        <v>201965</v>
      </c>
      <c r="G175">
        <v>28089</v>
      </c>
      <c r="H175">
        <v>12863</v>
      </c>
      <c r="I175">
        <v>2.5</v>
      </c>
    </row>
    <row r="176" spans="1:9" ht="16">
      <c r="A176" t="s">
        <v>319</v>
      </c>
      <c r="B176" t="s">
        <v>320</v>
      </c>
      <c r="C176">
        <v>27.1</v>
      </c>
      <c r="D176">
        <v>41959</v>
      </c>
      <c r="E176">
        <v>40873</v>
      </c>
      <c r="F176">
        <v>82832</v>
      </c>
      <c r="G176">
        <v>4744</v>
      </c>
      <c r="H176">
        <v>6313</v>
      </c>
      <c r="I176">
        <v>2.2799999999999998</v>
      </c>
    </row>
    <row r="177" spans="1:9" ht="16">
      <c r="A177" t="s">
        <v>321</v>
      </c>
      <c r="B177" t="s">
        <v>146</v>
      </c>
      <c r="C177">
        <v>36.4</v>
      </c>
      <c r="D177">
        <v>49151</v>
      </c>
      <c r="E177">
        <v>46037</v>
      </c>
      <c r="F177">
        <v>95188</v>
      </c>
      <c r="G177">
        <v>7135</v>
      </c>
      <c r="H177">
        <v>18565</v>
      </c>
      <c r="I177">
        <v>2.68</v>
      </c>
    </row>
    <row r="178" spans="1:9" ht="16">
      <c r="A178" t="s">
        <v>322</v>
      </c>
      <c r="B178" t="s">
        <v>80</v>
      </c>
      <c r="C178">
        <v>34.5</v>
      </c>
      <c r="D178">
        <v>42161</v>
      </c>
      <c r="E178">
        <v>43910</v>
      </c>
      <c r="F178">
        <v>86071</v>
      </c>
      <c r="G178">
        <v>2469</v>
      </c>
      <c r="H178">
        <v>6138</v>
      </c>
      <c r="I178">
        <v>2.8</v>
      </c>
    </row>
    <row r="179" spans="1:9" ht="16">
      <c r="A179" t="s">
        <v>323</v>
      </c>
      <c r="B179" t="s">
        <v>57</v>
      </c>
      <c r="C179">
        <v>23.9</v>
      </c>
      <c r="D179">
        <v>33224</v>
      </c>
      <c r="E179">
        <v>37093</v>
      </c>
      <c r="F179">
        <v>70317</v>
      </c>
      <c r="G179">
        <v>3667</v>
      </c>
      <c r="H179">
        <v>4262</v>
      </c>
      <c r="I179">
        <v>2.5499999999999998</v>
      </c>
    </row>
    <row r="180" spans="1:9" ht="16">
      <c r="A180" t="s">
        <v>324</v>
      </c>
      <c r="B180" t="s">
        <v>76</v>
      </c>
      <c r="C180">
        <v>35.299999999999997</v>
      </c>
      <c r="D180">
        <v>48984</v>
      </c>
      <c r="E180">
        <v>49313</v>
      </c>
      <c r="F180">
        <v>98297</v>
      </c>
      <c r="G180">
        <v>3757</v>
      </c>
      <c r="H180">
        <v>2138</v>
      </c>
      <c r="I180">
        <v>2.38</v>
      </c>
    </row>
    <row r="181" spans="1:9" ht="16">
      <c r="A181" t="s">
        <v>325</v>
      </c>
      <c r="B181" t="s">
        <v>30</v>
      </c>
      <c r="C181">
        <v>30.2</v>
      </c>
      <c r="D181">
        <v>34186</v>
      </c>
      <c r="E181">
        <v>32173</v>
      </c>
      <c r="F181">
        <v>66359</v>
      </c>
      <c r="G181">
        <v>416</v>
      </c>
      <c r="H181">
        <v>28696</v>
      </c>
      <c r="I181">
        <v>4.57</v>
      </c>
    </row>
    <row r="182" spans="1:9" ht="16">
      <c r="A182" t="s">
        <v>326</v>
      </c>
      <c r="B182" t="s">
        <v>32</v>
      </c>
      <c r="C182">
        <v>40.200000000000003</v>
      </c>
      <c r="D182">
        <v>35200</v>
      </c>
      <c r="E182">
        <v>35824</v>
      </c>
      <c r="F182">
        <v>71024</v>
      </c>
      <c r="G182">
        <v>4217</v>
      </c>
      <c r="H182">
        <v>6860</v>
      </c>
      <c r="I182">
        <v>3.01</v>
      </c>
    </row>
    <row r="183" spans="1:9" ht="16">
      <c r="A183" t="s">
        <v>327</v>
      </c>
      <c r="B183" t="s">
        <v>30</v>
      </c>
      <c r="C183">
        <v>40.9</v>
      </c>
      <c r="D183">
        <v>41051</v>
      </c>
      <c r="E183">
        <v>35317</v>
      </c>
      <c r="F183">
        <v>76368</v>
      </c>
      <c r="G183">
        <v>4187</v>
      </c>
      <c r="H183">
        <v>13234</v>
      </c>
      <c r="I183">
        <v>2.62</v>
      </c>
    </row>
    <row r="184" spans="1:9" ht="16">
      <c r="A184" t="s">
        <v>328</v>
      </c>
      <c r="B184" t="s">
        <v>30</v>
      </c>
      <c r="C184">
        <v>29.5</v>
      </c>
      <c r="D184">
        <v>100644</v>
      </c>
      <c r="E184">
        <v>106828</v>
      </c>
      <c r="F184">
        <v>207472</v>
      </c>
      <c r="G184">
        <v>4076</v>
      </c>
      <c r="H184">
        <v>61448</v>
      </c>
      <c r="I184">
        <v>4.1500000000000004</v>
      </c>
    </row>
    <row r="185" spans="1:9" ht="16">
      <c r="A185" t="s">
        <v>329</v>
      </c>
      <c r="B185" t="s">
        <v>41</v>
      </c>
      <c r="C185">
        <v>29.6</v>
      </c>
      <c r="D185">
        <v>80893</v>
      </c>
      <c r="E185">
        <v>80288</v>
      </c>
      <c r="F185">
        <v>161181</v>
      </c>
      <c r="G185">
        <v>8425</v>
      </c>
      <c r="H185">
        <v>9704</v>
      </c>
      <c r="I185">
        <v>2.4500000000000002</v>
      </c>
    </row>
    <row r="186" spans="1:9" ht="16">
      <c r="A186" t="s">
        <v>330</v>
      </c>
      <c r="B186" t="s">
        <v>39</v>
      </c>
      <c r="C186">
        <v>42.8</v>
      </c>
      <c r="D186">
        <v>93948</v>
      </c>
      <c r="E186">
        <v>84639</v>
      </c>
      <c r="F186">
        <v>178587</v>
      </c>
      <c r="G186">
        <v>8897</v>
      </c>
      <c r="H186">
        <v>47582</v>
      </c>
      <c r="I186">
        <v>2.38</v>
      </c>
    </row>
    <row r="187" spans="1:9" ht="16">
      <c r="A187" t="s">
        <v>331</v>
      </c>
      <c r="B187" t="s">
        <v>39</v>
      </c>
      <c r="C187">
        <v>37.299999999999997</v>
      </c>
      <c r="D187">
        <v>36850</v>
      </c>
      <c r="E187">
        <v>37165</v>
      </c>
      <c r="F187">
        <v>74015</v>
      </c>
      <c r="G187">
        <v>4312</v>
      </c>
      <c r="H187">
        <v>15365</v>
      </c>
      <c r="I187">
        <v>2.4500000000000002</v>
      </c>
    </row>
    <row r="188" spans="1:9" ht="16">
      <c r="A188" t="s">
        <v>332</v>
      </c>
      <c r="B188" t="s">
        <v>320</v>
      </c>
      <c r="C188">
        <v>34.9</v>
      </c>
      <c r="D188">
        <v>43346</v>
      </c>
      <c r="E188">
        <v>44849</v>
      </c>
      <c r="F188">
        <v>88195</v>
      </c>
      <c r="G188">
        <v>3408</v>
      </c>
      <c r="H188">
        <v>13177</v>
      </c>
      <c r="I188">
        <v>2.44</v>
      </c>
    </row>
    <row r="189" spans="1:9" ht="16">
      <c r="A189" t="s">
        <v>81</v>
      </c>
      <c r="B189" t="s">
        <v>80</v>
      </c>
      <c r="C189">
        <v>34.700000000000003</v>
      </c>
      <c r="D189">
        <v>124815</v>
      </c>
      <c r="E189">
        <v>133329</v>
      </c>
      <c r="F189">
        <v>258144</v>
      </c>
      <c r="G189">
        <v>13539</v>
      </c>
      <c r="H189">
        <v>19146</v>
      </c>
      <c r="I189">
        <v>2.4500000000000002</v>
      </c>
    </row>
    <row r="190" spans="1:9" ht="16">
      <c r="A190" t="s">
        <v>82</v>
      </c>
      <c r="B190" t="s">
        <v>32</v>
      </c>
      <c r="C190">
        <v>32.6</v>
      </c>
      <c r="D190">
        <v>414126</v>
      </c>
      <c r="E190">
        <v>422843</v>
      </c>
      <c r="F190">
        <v>836969</v>
      </c>
      <c r="G190">
        <v>39182</v>
      </c>
      <c r="H190">
        <v>143404</v>
      </c>
      <c r="I190">
        <v>2.88</v>
      </c>
    </row>
    <row r="191" spans="1:9" ht="16">
      <c r="A191" t="s">
        <v>333</v>
      </c>
      <c r="B191" t="s">
        <v>36</v>
      </c>
      <c r="C191">
        <v>40.299999999999997</v>
      </c>
      <c r="D191">
        <v>35442</v>
      </c>
      <c r="E191">
        <v>35768</v>
      </c>
      <c r="F191">
        <v>71210</v>
      </c>
      <c r="G191">
        <v>2625</v>
      </c>
      <c r="H191">
        <v>19070</v>
      </c>
      <c r="I191">
        <v>2.4900000000000002</v>
      </c>
    </row>
    <row r="192" spans="1:9" ht="16">
      <c r="A192" t="s">
        <v>334</v>
      </c>
      <c r="B192" t="s">
        <v>111</v>
      </c>
      <c r="C192">
        <v>38.299999999999997</v>
      </c>
      <c r="D192">
        <v>34991</v>
      </c>
      <c r="E192">
        <v>37644</v>
      </c>
      <c r="F192">
        <v>72635</v>
      </c>
      <c r="G192">
        <v>3303</v>
      </c>
      <c r="H192">
        <v>6876</v>
      </c>
      <c r="I192">
        <v>2.73</v>
      </c>
    </row>
    <row r="193" spans="1:9" ht="16">
      <c r="A193" t="s">
        <v>335</v>
      </c>
      <c r="B193" t="s">
        <v>48</v>
      </c>
      <c r="C193">
        <v>36.1</v>
      </c>
      <c r="D193">
        <v>33146</v>
      </c>
      <c r="E193">
        <v>36336</v>
      </c>
      <c r="F193">
        <v>69482</v>
      </c>
      <c r="G193">
        <v>3870</v>
      </c>
      <c r="H193">
        <v>14211</v>
      </c>
      <c r="I193">
        <v>2.48</v>
      </c>
    </row>
    <row r="194" spans="1:9" ht="16">
      <c r="A194" t="s">
        <v>83</v>
      </c>
      <c r="B194" t="s">
        <v>30</v>
      </c>
      <c r="C194">
        <v>38.299999999999997</v>
      </c>
      <c r="D194">
        <v>114383</v>
      </c>
      <c r="E194">
        <v>117808</v>
      </c>
      <c r="F194">
        <v>232191</v>
      </c>
      <c r="G194">
        <v>4629</v>
      </c>
      <c r="H194">
        <v>109427</v>
      </c>
      <c r="I194">
        <v>3.12</v>
      </c>
    </row>
    <row r="195" spans="1:9" ht="16">
      <c r="A195" t="s">
        <v>84</v>
      </c>
      <c r="B195" t="s">
        <v>30</v>
      </c>
      <c r="C195">
        <v>30</v>
      </c>
      <c r="D195">
        <v>256130</v>
      </c>
      <c r="E195">
        <v>263942</v>
      </c>
      <c r="F195">
        <v>520072</v>
      </c>
      <c r="G195">
        <v>18410</v>
      </c>
      <c r="H195">
        <v>103453</v>
      </c>
      <c r="I195">
        <v>3.12</v>
      </c>
    </row>
    <row r="196" spans="1:9" ht="16">
      <c r="A196" t="s">
        <v>336</v>
      </c>
      <c r="B196" t="s">
        <v>32</v>
      </c>
      <c r="C196">
        <v>37.200000000000003</v>
      </c>
      <c r="D196">
        <v>73989</v>
      </c>
      <c r="E196">
        <v>80399</v>
      </c>
      <c r="F196">
        <v>154388</v>
      </c>
      <c r="G196">
        <v>6297</v>
      </c>
      <c r="H196">
        <v>30913</v>
      </c>
      <c r="I196">
        <v>3.05</v>
      </c>
    </row>
    <row r="197" spans="1:9" ht="16">
      <c r="A197" t="s">
        <v>337</v>
      </c>
      <c r="B197" t="s">
        <v>30</v>
      </c>
      <c r="C197">
        <v>34.5</v>
      </c>
      <c r="D197">
        <v>69549</v>
      </c>
      <c r="E197">
        <v>71300</v>
      </c>
      <c r="F197">
        <v>140849</v>
      </c>
      <c r="G197">
        <v>5394</v>
      </c>
      <c r="H197">
        <v>43404</v>
      </c>
      <c r="I197">
        <v>2.97</v>
      </c>
    </row>
    <row r="198" spans="1:9" ht="16">
      <c r="A198" t="s">
        <v>338</v>
      </c>
      <c r="B198" t="s">
        <v>39</v>
      </c>
      <c r="C198">
        <v>26</v>
      </c>
      <c r="D198">
        <v>60803</v>
      </c>
      <c r="E198">
        <v>69330</v>
      </c>
      <c r="F198">
        <v>130133</v>
      </c>
      <c r="G198">
        <v>4788</v>
      </c>
      <c r="H198">
        <v>15272</v>
      </c>
      <c r="I198">
        <v>2.33</v>
      </c>
    </row>
    <row r="199" spans="1:9" ht="16">
      <c r="A199" t="s">
        <v>339</v>
      </c>
      <c r="B199" t="s">
        <v>48</v>
      </c>
      <c r="C199">
        <v>35.700000000000003</v>
      </c>
      <c r="D199">
        <v>32211</v>
      </c>
      <c r="E199">
        <v>35234</v>
      </c>
      <c r="F199">
        <v>67445</v>
      </c>
      <c r="G199">
        <v>2126</v>
      </c>
      <c r="H199">
        <v>28133</v>
      </c>
      <c r="I199">
        <v>2.73</v>
      </c>
    </row>
    <row r="200" spans="1:9" ht="16">
      <c r="A200" t="s">
        <v>340</v>
      </c>
      <c r="B200" t="s">
        <v>30</v>
      </c>
      <c r="C200">
        <v>37.799999999999997</v>
      </c>
      <c r="D200">
        <v>86779</v>
      </c>
      <c r="E200">
        <v>88605</v>
      </c>
      <c r="F200">
        <v>175384</v>
      </c>
      <c r="G200">
        <v>4316</v>
      </c>
      <c r="H200">
        <v>80677</v>
      </c>
      <c r="I200">
        <v>3.66</v>
      </c>
    </row>
    <row r="201" spans="1:9" ht="16">
      <c r="A201" t="s">
        <v>85</v>
      </c>
      <c r="B201" t="s">
        <v>32</v>
      </c>
      <c r="C201">
        <v>34.5</v>
      </c>
      <c r="D201">
        <v>116406</v>
      </c>
      <c r="E201">
        <v>120430</v>
      </c>
      <c r="F201">
        <v>236836</v>
      </c>
      <c r="G201">
        <v>10407</v>
      </c>
      <c r="H201">
        <v>62975</v>
      </c>
      <c r="I201">
        <v>3.12</v>
      </c>
    </row>
    <row r="202" spans="1:9" ht="16">
      <c r="A202" t="s">
        <v>341</v>
      </c>
      <c r="B202" t="s">
        <v>80</v>
      </c>
      <c r="C202">
        <v>38.1</v>
      </c>
      <c r="D202">
        <v>35876</v>
      </c>
      <c r="E202">
        <v>41478</v>
      </c>
      <c r="F202">
        <v>77354</v>
      </c>
      <c r="G202">
        <v>3952</v>
      </c>
      <c r="H202">
        <v>1884</v>
      </c>
      <c r="I202">
        <v>2.35</v>
      </c>
    </row>
    <row r="203" spans="1:9" ht="16">
      <c r="A203" t="s">
        <v>342</v>
      </c>
      <c r="B203" t="s">
        <v>195</v>
      </c>
      <c r="C203">
        <v>36.9</v>
      </c>
      <c r="D203">
        <v>35527</v>
      </c>
      <c r="E203">
        <v>39023</v>
      </c>
      <c r="F203">
        <v>74550</v>
      </c>
      <c r="G203">
        <v>3537</v>
      </c>
      <c r="H203">
        <v>5715</v>
      </c>
      <c r="I203">
        <v>2.67</v>
      </c>
    </row>
    <row r="204" spans="1:9" ht="16">
      <c r="A204" t="s">
        <v>343</v>
      </c>
      <c r="B204" t="s">
        <v>48</v>
      </c>
      <c r="C204">
        <v>34.9</v>
      </c>
      <c r="D204">
        <v>41115</v>
      </c>
      <c r="E204">
        <v>43007</v>
      </c>
      <c r="F204">
        <v>84122</v>
      </c>
      <c r="G204">
        <v>2443</v>
      </c>
      <c r="H204">
        <v>27877</v>
      </c>
      <c r="I204">
        <v>2.95</v>
      </c>
    </row>
    <row r="205" spans="1:9" ht="16">
      <c r="A205" t="s">
        <v>86</v>
      </c>
      <c r="B205" t="s">
        <v>57</v>
      </c>
      <c r="C205">
        <v>33.200000000000003</v>
      </c>
      <c r="D205">
        <v>116711</v>
      </c>
      <c r="E205">
        <v>130812</v>
      </c>
      <c r="F205">
        <v>247523</v>
      </c>
      <c r="G205">
        <v>10817</v>
      </c>
      <c r="H205">
        <v>24531</v>
      </c>
      <c r="I205">
        <v>3.2</v>
      </c>
    </row>
    <row r="206" spans="1:9" ht="16">
      <c r="A206" t="s">
        <v>344</v>
      </c>
      <c r="B206" t="s">
        <v>48</v>
      </c>
      <c r="C206">
        <v>36.5</v>
      </c>
      <c r="D206">
        <v>33398</v>
      </c>
      <c r="E206">
        <v>36461</v>
      </c>
      <c r="F206">
        <v>69859</v>
      </c>
      <c r="G206">
        <v>5298</v>
      </c>
      <c r="H206">
        <v>6971</v>
      </c>
      <c r="I206">
        <v>2.58</v>
      </c>
    </row>
    <row r="207" spans="1:9" ht="16">
      <c r="A207" t="s">
        <v>87</v>
      </c>
      <c r="B207" t="s">
        <v>57</v>
      </c>
      <c r="C207">
        <v>34.4</v>
      </c>
      <c r="D207">
        <v>116795</v>
      </c>
      <c r="E207">
        <v>123319</v>
      </c>
      <c r="F207">
        <v>240114</v>
      </c>
      <c r="G207">
        <v>13241</v>
      </c>
      <c r="H207">
        <v>44133</v>
      </c>
      <c r="I207">
        <v>2.89</v>
      </c>
    </row>
    <row r="208" spans="1:9" ht="16">
      <c r="A208" t="s">
        <v>87</v>
      </c>
      <c r="B208" t="s">
        <v>30</v>
      </c>
      <c r="C208">
        <v>42.1</v>
      </c>
      <c r="D208">
        <v>98181</v>
      </c>
      <c r="E208">
        <v>102844</v>
      </c>
      <c r="F208">
        <v>201025</v>
      </c>
      <c r="G208">
        <v>4448</v>
      </c>
      <c r="H208">
        <v>111510</v>
      </c>
      <c r="I208">
        <v>2.69</v>
      </c>
    </row>
    <row r="209" spans="1:9" ht="16">
      <c r="A209" t="s">
        <v>345</v>
      </c>
      <c r="B209" t="s">
        <v>57</v>
      </c>
      <c r="C209">
        <v>38.6</v>
      </c>
      <c r="D209">
        <v>36711</v>
      </c>
      <c r="E209">
        <v>42292</v>
      </c>
      <c r="F209">
        <v>79003</v>
      </c>
      <c r="G209">
        <v>7650</v>
      </c>
      <c r="H209">
        <v>11774</v>
      </c>
      <c r="I209">
        <v>2.97</v>
      </c>
    </row>
    <row r="210" spans="1:9" ht="16">
      <c r="A210" t="s">
        <v>346</v>
      </c>
      <c r="B210" t="s">
        <v>32</v>
      </c>
      <c r="C210">
        <v>33.1</v>
      </c>
      <c r="D210">
        <v>90811</v>
      </c>
      <c r="E210">
        <v>96944</v>
      </c>
      <c r="F210">
        <v>187755</v>
      </c>
      <c r="G210">
        <v>7073</v>
      </c>
      <c r="H210">
        <v>44888</v>
      </c>
      <c r="I210">
        <v>3.18</v>
      </c>
    </row>
    <row r="211" spans="1:9" ht="16">
      <c r="A211" t="s">
        <v>347</v>
      </c>
      <c r="B211" t="s">
        <v>76</v>
      </c>
      <c r="C211">
        <v>32.1</v>
      </c>
      <c r="D211">
        <v>95669</v>
      </c>
      <c r="E211">
        <v>99430</v>
      </c>
      <c r="F211">
        <v>195099</v>
      </c>
      <c r="G211">
        <v>8972</v>
      </c>
      <c r="H211">
        <v>19176</v>
      </c>
      <c r="I211">
        <v>2.56</v>
      </c>
    </row>
    <row r="212" spans="1:9" ht="16">
      <c r="A212" t="s">
        <v>348</v>
      </c>
      <c r="B212" t="s">
        <v>41</v>
      </c>
      <c r="C212">
        <v>31</v>
      </c>
      <c r="D212">
        <v>50792</v>
      </c>
      <c r="E212">
        <v>50091</v>
      </c>
      <c r="F212">
        <v>100883</v>
      </c>
      <c r="G212">
        <v>4294</v>
      </c>
      <c r="H212">
        <v>11480</v>
      </c>
      <c r="I212">
        <v>2.75</v>
      </c>
    </row>
    <row r="213" spans="1:9" ht="16">
      <c r="A213" t="s">
        <v>349</v>
      </c>
      <c r="B213" t="s">
        <v>109</v>
      </c>
      <c r="C213">
        <v>32.9</v>
      </c>
      <c r="D213">
        <v>52517</v>
      </c>
      <c r="E213">
        <v>52704</v>
      </c>
      <c r="F213">
        <v>105221</v>
      </c>
      <c r="G213">
        <v>5519</v>
      </c>
      <c r="H213">
        <v>9813</v>
      </c>
      <c r="I213">
        <v>2.37</v>
      </c>
    </row>
    <row r="214" spans="1:9" ht="16">
      <c r="A214" t="s">
        <v>88</v>
      </c>
      <c r="B214" t="s">
        <v>195</v>
      </c>
      <c r="C214">
        <v>35.5</v>
      </c>
      <c r="D214">
        <v>132251</v>
      </c>
      <c r="E214">
        <v>153093</v>
      </c>
      <c r="F214">
        <v>285344</v>
      </c>
      <c r="G214">
        <v>14011</v>
      </c>
      <c r="H214">
        <v>26667</v>
      </c>
      <c r="I214">
        <v>2.36</v>
      </c>
    </row>
    <row r="215" spans="1:9" ht="16">
      <c r="A215" t="s">
        <v>350</v>
      </c>
      <c r="B215" t="s">
        <v>195</v>
      </c>
      <c r="C215">
        <v>26.2</v>
      </c>
      <c r="D215">
        <v>39897</v>
      </c>
      <c r="E215">
        <v>50691</v>
      </c>
      <c r="F215">
        <v>90588</v>
      </c>
      <c r="G215">
        <v>4283</v>
      </c>
      <c r="H215">
        <v>4183</v>
      </c>
      <c r="I215">
        <v>2.4</v>
      </c>
    </row>
    <row r="216" spans="1:9" ht="16">
      <c r="A216" t="s">
        <v>351</v>
      </c>
      <c r="B216" t="s">
        <v>133</v>
      </c>
      <c r="C216">
        <v>36.700000000000003</v>
      </c>
      <c r="D216">
        <v>53866</v>
      </c>
      <c r="E216">
        <v>56716</v>
      </c>
      <c r="F216">
        <v>110582</v>
      </c>
      <c r="G216">
        <v>6326</v>
      </c>
      <c r="H216">
        <v>17860</v>
      </c>
      <c r="I216">
        <v>2.67</v>
      </c>
    </row>
    <row r="217" spans="1:9" ht="16">
      <c r="A217" t="s">
        <v>352</v>
      </c>
      <c r="B217" t="s">
        <v>204</v>
      </c>
      <c r="C217">
        <v>42.2</v>
      </c>
      <c r="D217">
        <v>33066</v>
      </c>
      <c r="E217">
        <v>37426</v>
      </c>
      <c r="F217">
        <v>70492</v>
      </c>
    </row>
    <row r="218" spans="1:9" ht="16">
      <c r="A218" t="s">
        <v>353</v>
      </c>
      <c r="B218" t="s">
        <v>354</v>
      </c>
      <c r="C218">
        <v>35.1</v>
      </c>
      <c r="D218">
        <v>33108</v>
      </c>
      <c r="E218">
        <v>38764</v>
      </c>
      <c r="F218">
        <v>71872</v>
      </c>
      <c r="G218">
        <v>6646</v>
      </c>
      <c r="H218">
        <v>3072</v>
      </c>
      <c r="I218">
        <v>2.54</v>
      </c>
    </row>
    <row r="219" spans="1:9" ht="16">
      <c r="A219" t="s">
        <v>355</v>
      </c>
      <c r="B219" t="s">
        <v>80</v>
      </c>
      <c r="C219">
        <v>36</v>
      </c>
      <c r="D219">
        <v>38923</v>
      </c>
      <c r="E219">
        <v>38687</v>
      </c>
      <c r="F219">
        <v>77610</v>
      </c>
      <c r="G219">
        <v>4144</v>
      </c>
      <c r="H219">
        <v>9224</v>
      </c>
      <c r="I219">
        <v>2.61</v>
      </c>
    </row>
    <row r="220" spans="1:9" ht="16">
      <c r="A220" t="s">
        <v>356</v>
      </c>
      <c r="B220" t="s">
        <v>61</v>
      </c>
      <c r="C220">
        <v>35.5</v>
      </c>
      <c r="D220">
        <v>66214</v>
      </c>
      <c r="E220">
        <v>70240</v>
      </c>
      <c r="F220">
        <v>136454</v>
      </c>
      <c r="G220">
        <v>19638</v>
      </c>
      <c r="H220">
        <v>6204</v>
      </c>
      <c r="I220">
        <v>2.48</v>
      </c>
    </row>
    <row r="221" spans="1:9" ht="16">
      <c r="A221" t="s">
        <v>357</v>
      </c>
      <c r="B221" t="s">
        <v>32</v>
      </c>
      <c r="C221">
        <v>30.1</v>
      </c>
      <c r="D221">
        <v>32404</v>
      </c>
      <c r="E221">
        <v>33365</v>
      </c>
      <c r="F221">
        <v>65769</v>
      </c>
      <c r="G221">
        <v>2761</v>
      </c>
      <c r="H221">
        <v>10391</v>
      </c>
      <c r="I221">
        <v>3</v>
      </c>
    </row>
    <row r="222" spans="1:9" ht="16">
      <c r="A222" t="s">
        <v>358</v>
      </c>
      <c r="B222" t="s">
        <v>229</v>
      </c>
      <c r="C222">
        <v>31</v>
      </c>
      <c r="D222">
        <v>58042</v>
      </c>
      <c r="E222">
        <v>65972</v>
      </c>
      <c r="F222">
        <v>124014</v>
      </c>
      <c r="G222">
        <v>3130</v>
      </c>
      <c r="H222">
        <v>28467</v>
      </c>
      <c r="I222">
        <v>2.59</v>
      </c>
    </row>
    <row r="223" spans="1:9" ht="16">
      <c r="A223" t="s">
        <v>359</v>
      </c>
      <c r="B223" t="s">
        <v>30</v>
      </c>
      <c r="C223">
        <v>33.700000000000003</v>
      </c>
      <c r="D223">
        <v>43682</v>
      </c>
      <c r="E223">
        <v>44762</v>
      </c>
      <c r="F223">
        <v>88444</v>
      </c>
      <c r="G223">
        <v>2123</v>
      </c>
      <c r="H223">
        <v>32107</v>
      </c>
      <c r="I223">
        <v>2.97</v>
      </c>
    </row>
    <row r="224" spans="1:9" ht="16">
      <c r="A224" t="s">
        <v>360</v>
      </c>
      <c r="B224" t="s">
        <v>30</v>
      </c>
      <c r="C224">
        <v>34.299999999999997</v>
      </c>
      <c r="D224">
        <v>78152</v>
      </c>
      <c r="E224">
        <v>80148</v>
      </c>
      <c r="F224">
        <v>158300</v>
      </c>
      <c r="G224">
        <v>4385</v>
      </c>
      <c r="H224">
        <v>60970</v>
      </c>
      <c r="I224">
        <v>3.32</v>
      </c>
    </row>
    <row r="225" spans="1:9" ht="16">
      <c r="A225" t="s">
        <v>361</v>
      </c>
      <c r="B225" t="s">
        <v>30</v>
      </c>
      <c r="C225">
        <v>36.799999999999997</v>
      </c>
      <c r="D225">
        <v>38622</v>
      </c>
      <c r="E225">
        <v>45251</v>
      </c>
      <c r="F225">
        <v>83873</v>
      </c>
      <c r="G225">
        <v>5613</v>
      </c>
      <c r="H225">
        <v>13330</v>
      </c>
      <c r="I225">
        <v>2.97</v>
      </c>
    </row>
    <row r="226" spans="1:9" ht="16">
      <c r="A226" t="s">
        <v>90</v>
      </c>
      <c r="B226" t="s">
        <v>89</v>
      </c>
      <c r="C226">
        <v>42.5</v>
      </c>
      <c r="D226">
        <v>139412</v>
      </c>
      <c r="E226">
        <v>146246</v>
      </c>
      <c r="F226">
        <v>285658</v>
      </c>
      <c r="G226">
        <v>25045</v>
      </c>
      <c r="H226">
        <v>35666</v>
      </c>
      <c r="I226">
        <v>2.5499999999999998</v>
      </c>
    </row>
    <row r="227" spans="1:9" ht="16">
      <c r="A227" t="s">
        <v>362</v>
      </c>
      <c r="B227" t="s">
        <v>30</v>
      </c>
      <c r="C227">
        <v>29.4</v>
      </c>
      <c r="D227">
        <v>43588</v>
      </c>
      <c r="E227">
        <v>49698</v>
      </c>
      <c r="F227">
        <v>93286</v>
      </c>
      <c r="G227">
        <v>3739</v>
      </c>
      <c r="H227">
        <v>16667</v>
      </c>
      <c r="I227">
        <v>3.52</v>
      </c>
    </row>
    <row r="228" spans="1:9" ht="16">
      <c r="A228" t="s">
        <v>91</v>
      </c>
      <c r="B228" t="s">
        <v>39</v>
      </c>
      <c r="C228">
        <v>43</v>
      </c>
      <c r="D228">
        <v>111530</v>
      </c>
      <c r="E228">
        <v>125552</v>
      </c>
      <c r="F228">
        <v>237082</v>
      </c>
      <c r="G228">
        <v>1844</v>
      </c>
      <c r="H228">
        <v>170148</v>
      </c>
      <c r="I228">
        <v>3.31</v>
      </c>
    </row>
    <row r="229" spans="1:9" ht="16">
      <c r="A229" t="s">
        <v>363</v>
      </c>
      <c r="B229" t="s">
        <v>195</v>
      </c>
      <c r="C229">
        <v>35.5</v>
      </c>
      <c r="D229">
        <v>51751</v>
      </c>
      <c r="E229">
        <v>58077</v>
      </c>
      <c r="F229">
        <v>109828</v>
      </c>
      <c r="G229">
        <v>5204</v>
      </c>
      <c r="H229">
        <v>16315</v>
      </c>
      <c r="I229">
        <v>2.65</v>
      </c>
    </row>
    <row r="230" spans="1:9" ht="16">
      <c r="A230" t="s">
        <v>364</v>
      </c>
      <c r="B230" t="s">
        <v>41</v>
      </c>
      <c r="C230">
        <v>39.6</v>
      </c>
      <c r="D230">
        <v>49186</v>
      </c>
      <c r="E230">
        <v>53281</v>
      </c>
      <c r="F230">
        <v>102467</v>
      </c>
      <c r="G230">
        <v>4840</v>
      </c>
      <c r="H230">
        <v>8827</v>
      </c>
      <c r="I230">
        <v>2.72</v>
      </c>
    </row>
    <row r="231" spans="1:9" ht="16">
      <c r="A231" t="s">
        <v>365</v>
      </c>
      <c r="B231" t="s">
        <v>133</v>
      </c>
      <c r="C231">
        <v>35.299999999999997</v>
      </c>
      <c r="D231">
        <v>50926</v>
      </c>
      <c r="E231">
        <v>51434</v>
      </c>
      <c r="F231">
        <v>102360</v>
      </c>
      <c r="G231">
        <v>6625</v>
      </c>
      <c r="H231">
        <v>19531</v>
      </c>
      <c r="I231">
        <v>2.68</v>
      </c>
    </row>
    <row r="232" spans="1:9" ht="16">
      <c r="A232" t="s">
        <v>366</v>
      </c>
      <c r="B232" t="s">
        <v>39</v>
      </c>
      <c r="C232">
        <v>41.4</v>
      </c>
      <c r="D232">
        <v>75358</v>
      </c>
      <c r="E232">
        <v>74363</v>
      </c>
      <c r="F232">
        <v>149721</v>
      </c>
      <c r="G232">
        <v>6056</v>
      </c>
      <c r="H232">
        <v>55158</v>
      </c>
      <c r="I232">
        <v>2.65</v>
      </c>
    </row>
    <row r="233" spans="1:9" ht="16">
      <c r="A233" t="s">
        <v>367</v>
      </c>
      <c r="B233" t="s">
        <v>39</v>
      </c>
      <c r="C233">
        <v>31.4</v>
      </c>
      <c r="D233">
        <v>31401</v>
      </c>
      <c r="E233">
        <v>35099</v>
      </c>
      <c r="F233">
        <v>66500</v>
      </c>
      <c r="G233">
        <v>2287</v>
      </c>
      <c r="H233">
        <v>24408</v>
      </c>
      <c r="I233">
        <v>3.48</v>
      </c>
    </row>
    <row r="234" spans="1:9" ht="16">
      <c r="A234" t="s">
        <v>368</v>
      </c>
      <c r="B234" t="s">
        <v>117</v>
      </c>
      <c r="C234">
        <v>38.5</v>
      </c>
      <c r="D234">
        <v>38040</v>
      </c>
      <c r="E234">
        <v>46799</v>
      </c>
      <c r="F234">
        <v>84839</v>
      </c>
      <c r="G234">
        <v>4819</v>
      </c>
      <c r="H234">
        <v>8229</v>
      </c>
      <c r="I234">
        <v>2.58</v>
      </c>
    </row>
    <row r="235" spans="1:9" ht="16">
      <c r="A235" t="s">
        <v>94</v>
      </c>
      <c r="B235" t="s">
        <v>32</v>
      </c>
      <c r="C235">
        <v>32.6</v>
      </c>
      <c r="D235">
        <v>1149686</v>
      </c>
      <c r="E235">
        <v>1148942</v>
      </c>
      <c r="F235">
        <v>2298628</v>
      </c>
      <c r="G235">
        <v>71898</v>
      </c>
      <c r="H235">
        <v>696210</v>
      </c>
      <c r="I235">
        <v>2.66</v>
      </c>
    </row>
    <row r="236" spans="1:9" ht="16">
      <c r="A236" t="s">
        <v>369</v>
      </c>
      <c r="B236" t="s">
        <v>30</v>
      </c>
      <c r="C236">
        <v>41.6</v>
      </c>
      <c r="D236">
        <v>99967</v>
      </c>
      <c r="E236">
        <v>101960</v>
      </c>
      <c r="F236">
        <v>201927</v>
      </c>
      <c r="G236">
        <v>10454</v>
      </c>
      <c r="H236">
        <v>35368</v>
      </c>
      <c r="I236">
        <v>2.67</v>
      </c>
    </row>
    <row r="237" spans="1:9" ht="16">
      <c r="A237" t="s">
        <v>370</v>
      </c>
      <c r="B237" t="s">
        <v>117</v>
      </c>
      <c r="C237">
        <v>38.1</v>
      </c>
      <c r="D237">
        <v>91764</v>
      </c>
      <c r="E237">
        <v>97350</v>
      </c>
      <c r="F237">
        <v>189114</v>
      </c>
      <c r="G237">
        <v>16637</v>
      </c>
      <c r="H237">
        <v>12691</v>
      </c>
      <c r="I237">
        <v>2.1800000000000002</v>
      </c>
    </row>
    <row r="238" spans="1:9" ht="16">
      <c r="A238" t="s">
        <v>371</v>
      </c>
      <c r="B238" t="s">
        <v>101</v>
      </c>
      <c r="C238">
        <v>38.6</v>
      </c>
      <c r="D238">
        <v>54348</v>
      </c>
      <c r="E238">
        <v>62907</v>
      </c>
      <c r="F238">
        <v>117255</v>
      </c>
      <c r="G238">
        <v>10220</v>
      </c>
      <c r="H238">
        <v>4911</v>
      </c>
      <c r="I238">
        <v>2.33</v>
      </c>
    </row>
    <row r="239" spans="1:9" ht="16">
      <c r="A239" t="s">
        <v>95</v>
      </c>
      <c r="B239" t="s">
        <v>80</v>
      </c>
      <c r="C239">
        <v>34.1</v>
      </c>
      <c r="D239">
        <v>410615</v>
      </c>
      <c r="E239">
        <v>437808</v>
      </c>
      <c r="F239">
        <v>848423</v>
      </c>
      <c r="G239">
        <v>42186</v>
      </c>
      <c r="H239">
        <v>72456</v>
      </c>
      <c r="I239">
        <v>2.5299999999999998</v>
      </c>
    </row>
    <row r="240" spans="1:9" ht="16">
      <c r="A240" t="s">
        <v>372</v>
      </c>
      <c r="B240" t="s">
        <v>30</v>
      </c>
      <c r="C240">
        <v>35.9</v>
      </c>
      <c r="D240">
        <v>43803</v>
      </c>
      <c r="E240">
        <v>43723</v>
      </c>
      <c r="F240">
        <v>87526</v>
      </c>
      <c r="G240">
        <v>3647</v>
      </c>
      <c r="H240">
        <v>22538</v>
      </c>
      <c r="I240">
        <v>3.08</v>
      </c>
    </row>
    <row r="241" spans="1:9" ht="16">
      <c r="A241" t="s">
        <v>373</v>
      </c>
      <c r="B241" t="s">
        <v>30</v>
      </c>
      <c r="C241">
        <v>34.9</v>
      </c>
      <c r="D241">
        <v>52995</v>
      </c>
      <c r="E241">
        <v>58661</v>
      </c>
      <c r="F241">
        <v>111656</v>
      </c>
      <c r="G241">
        <v>2703</v>
      </c>
      <c r="H241">
        <v>34171</v>
      </c>
      <c r="I241">
        <v>3.12</v>
      </c>
    </row>
    <row r="242" spans="1:9" ht="16">
      <c r="A242" t="s">
        <v>374</v>
      </c>
      <c r="B242" t="s">
        <v>74</v>
      </c>
      <c r="C242">
        <v>25.5</v>
      </c>
      <c r="D242">
        <v>37089</v>
      </c>
      <c r="E242">
        <v>37138</v>
      </c>
      <c r="F242">
        <v>74227</v>
      </c>
      <c r="G242">
        <v>2047</v>
      </c>
      <c r="H242">
        <v>9202</v>
      </c>
      <c r="I242">
        <v>2.36</v>
      </c>
    </row>
    <row r="243" spans="1:9" ht="16">
      <c r="A243" t="s">
        <v>96</v>
      </c>
      <c r="B243" t="s">
        <v>30</v>
      </c>
      <c r="C243">
        <v>34.6</v>
      </c>
      <c r="D243">
        <v>125411</v>
      </c>
      <c r="E243">
        <v>131516</v>
      </c>
      <c r="F243">
        <v>256927</v>
      </c>
      <c r="G243">
        <v>5532</v>
      </c>
      <c r="H243">
        <v>116366</v>
      </c>
      <c r="I243">
        <v>2.73</v>
      </c>
    </row>
    <row r="244" spans="1:9" ht="16">
      <c r="A244" t="s">
        <v>97</v>
      </c>
      <c r="B244" t="s">
        <v>32</v>
      </c>
      <c r="C244">
        <v>32.299999999999997</v>
      </c>
      <c r="D244">
        <v>117189</v>
      </c>
      <c r="E244">
        <v>119428</v>
      </c>
      <c r="F244">
        <v>236617</v>
      </c>
      <c r="G244">
        <v>6207</v>
      </c>
      <c r="H244">
        <v>86756</v>
      </c>
      <c r="I244">
        <v>2.78</v>
      </c>
    </row>
    <row r="245" spans="1:9" ht="16">
      <c r="A245" t="s">
        <v>375</v>
      </c>
      <c r="B245" t="s">
        <v>354</v>
      </c>
      <c r="C245">
        <v>31.7</v>
      </c>
      <c r="D245">
        <v>79039</v>
      </c>
      <c r="E245">
        <v>91772</v>
      </c>
      <c r="F245">
        <v>170811</v>
      </c>
      <c r="G245">
        <v>8146</v>
      </c>
      <c r="H245">
        <v>1789</v>
      </c>
      <c r="I245">
        <v>2.65</v>
      </c>
    </row>
    <row r="246" spans="1:9" ht="16">
      <c r="A246" t="s">
        <v>375</v>
      </c>
      <c r="B246" t="s">
        <v>111</v>
      </c>
      <c r="C246">
        <v>35.299999999999997</v>
      </c>
      <c r="D246">
        <v>30007</v>
      </c>
      <c r="E246">
        <v>36973</v>
      </c>
      <c r="F246">
        <v>66980</v>
      </c>
      <c r="G246">
        <v>3529</v>
      </c>
      <c r="H246">
        <v>2097</v>
      </c>
      <c r="I246">
        <v>2.52</v>
      </c>
    </row>
    <row r="247" spans="1:9" ht="16">
      <c r="A247" t="s">
        <v>98</v>
      </c>
      <c r="B247" t="s">
        <v>39</v>
      </c>
      <c r="C247">
        <v>35.700000000000003</v>
      </c>
      <c r="D247">
        <v>419203</v>
      </c>
      <c r="E247">
        <v>448828</v>
      </c>
      <c r="F247">
        <v>868031</v>
      </c>
      <c r="G247">
        <v>75432</v>
      </c>
      <c r="H247">
        <v>85650</v>
      </c>
      <c r="I247">
        <v>2.62</v>
      </c>
    </row>
    <row r="248" spans="1:9" ht="16">
      <c r="A248" t="s">
        <v>98</v>
      </c>
      <c r="B248" t="s">
        <v>195</v>
      </c>
      <c r="C248">
        <v>24.2</v>
      </c>
      <c r="D248">
        <v>40015</v>
      </c>
      <c r="E248">
        <v>27348</v>
      </c>
      <c r="F248">
        <v>67363</v>
      </c>
      <c r="G248">
        <v>8252</v>
      </c>
      <c r="H248">
        <v>3732</v>
      </c>
      <c r="I248">
        <v>2.5099999999999998</v>
      </c>
    </row>
    <row r="249" spans="1:9" ht="16">
      <c r="A249" t="s">
        <v>100</v>
      </c>
      <c r="B249" t="s">
        <v>99</v>
      </c>
      <c r="C249">
        <v>34.299999999999997</v>
      </c>
      <c r="D249">
        <v>131765</v>
      </c>
      <c r="E249">
        <v>132512</v>
      </c>
      <c r="F249">
        <v>264277</v>
      </c>
      <c r="G249">
        <v>4374</v>
      </c>
      <c r="H249">
        <v>109186</v>
      </c>
      <c r="I249">
        <v>2.57</v>
      </c>
    </row>
    <row r="250" spans="1:9" ht="16">
      <c r="A250" t="s">
        <v>376</v>
      </c>
      <c r="B250" t="s">
        <v>28</v>
      </c>
      <c r="C250">
        <v>39</v>
      </c>
      <c r="D250">
        <v>40282</v>
      </c>
      <c r="E250">
        <v>43057</v>
      </c>
      <c r="F250">
        <v>83339</v>
      </c>
      <c r="G250">
        <v>1983</v>
      </c>
      <c r="H250">
        <v>29000</v>
      </c>
      <c r="I250">
        <v>3.19</v>
      </c>
    </row>
    <row r="251" spans="1:9" ht="16">
      <c r="A251" t="s">
        <v>377</v>
      </c>
      <c r="B251" t="s">
        <v>111</v>
      </c>
      <c r="C251">
        <v>38.200000000000003</v>
      </c>
      <c r="D251">
        <v>31019</v>
      </c>
      <c r="E251">
        <v>34350</v>
      </c>
      <c r="F251">
        <v>65369</v>
      </c>
      <c r="G251">
        <v>5038</v>
      </c>
      <c r="H251">
        <v>2878</v>
      </c>
      <c r="I251">
        <v>2.1800000000000002</v>
      </c>
    </row>
    <row r="252" spans="1:9" ht="16">
      <c r="A252" t="s">
        <v>378</v>
      </c>
      <c r="B252" t="s">
        <v>63</v>
      </c>
      <c r="C252">
        <v>33.1</v>
      </c>
      <c r="D252">
        <v>70863</v>
      </c>
      <c r="E252">
        <v>79162</v>
      </c>
      <c r="F252">
        <v>150025</v>
      </c>
      <c r="G252">
        <v>7353</v>
      </c>
      <c r="H252">
        <v>22409</v>
      </c>
      <c r="I252">
        <v>3.13</v>
      </c>
    </row>
    <row r="253" spans="1:9" ht="16">
      <c r="A253" t="s">
        <v>379</v>
      </c>
      <c r="B253" t="s">
        <v>320</v>
      </c>
      <c r="C253">
        <v>32.6</v>
      </c>
      <c r="D253">
        <v>35666</v>
      </c>
      <c r="E253">
        <v>38240</v>
      </c>
      <c r="F253">
        <v>73906</v>
      </c>
      <c r="G253">
        <v>3682</v>
      </c>
      <c r="H253">
        <v>3222</v>
      </c>
      <c r="I253">
        <v>2.44</v>
      </c>
    </row>
    <row r="254" spans="1:9" ht="16">
      <c r="A254" t="s">
        <v>380</v>
      </c>
      <c r="B254" t="s">
        <v>30</v>
      </c>
      <c r="C254">
        <v>33.799999999999997</v>
      </c>
      <c r="D254">
        <v>49430</v>
      </c>
      <c r="E254">
        <v>50884</v>
      </c>
      <c r="F254">
        <v>100314</v>
      </c>
      <c r="G254">
        <v>3833</v>
      </c>
      <c r="H254">
        <v>25338</v>
      </c>
      <c r="I254">
        <v>3.87</v>
      </c>
    </row>
    <row r="255" spans="1:9" ht="16">
      <c r="A255" t="s">
        <v>381</v>
      </c>
      <c r="B255" t="s">
        <v>76</v>
      </c>
      <c r="C255">
        <v>26.4</v>
      </c>
      <c r="D255">
        <v>37175</v>
      </c>
      <c r="E255">
        <v>38865</v>
      </c>
      <c r="F255">
        <v>76040</v>
      </c>
      <c r="G255">
        <v>3048</v>
      </c>
      <c r="H255">
        <v>3482</v>
      </c>
      <c r="I255">
        <v>2.36</v>
      </c>
    </row>
    <row r="256" spans="1:9" ht="16">
      <c r="A256" t="s">
        <v>102</v>
      </c>
      <c r="B256" t="s">
        <v>101</v>
      </c>
      <c r="C256">
        <v>35.9</v>
      </c>
      <c r="D256">
        <v>228430</v>
      </c>
      <c r="E256">
        <v>246931</v>
      </c>
      <c r="F256">
        <v>475361</v>
      </c>
      <c r="G256">
        <v>24710</v>
      </c>
      <c r="H256">
        <v>37787</v>
      </c>
      <c r="I256">
        <v>2.35</v>
      </c>
    </row>
    <row r="257" spans="1:9" ht="16">
      <c r="A257" t="s">
        <v>102</v>
      </c>
      <c r="B257" t="s">
        <v>158</v>
      </c>
      <c r="C257">
        <v>33.4</v>
      </c>
      <c r="D257">
        <v>74606</v>
      </c>
      <c r="E257">
        <v>76655</v>
      </c>
      <c r="F257">
        <v>151261</v>
      </c>
      <c r="G257">
        <v>8139</v>
      </c>
      <c r="H257">
        <v>25507</v>
      </c>
      <c r="I257">
        <v>2.71</v>
      </c>
    </row>
    <row r="258" spans="1:9" ht="16">
      <c r="A258" t="s">
        <v>382</v>
      </c>
      <c r="B258" t="s">
        <v>39</v>
      </c>
      <c r="C258">
        <v>40.200000000000003</v>
      </c>
      <c r="D258">
        <v>36658</v>
      </c>
      <c r="E258">
        <v>39808</v>
      </c>
      <c r="F258">
        <v>76466</v>
      </c>
      <c r="G258">
        <v>1678</v>
      </c>
      <c r="H258">
        <v>31180</v>
      </c>
      <c r="I258">
        <v>2.81</v>
      </c>
    </row>
    <row r="259" spans="1:9" ht="16">
      <c r="A259" t="s">
        <v>383</v>
      </c>
      <c r="B259" t="s">
        <v>52</v>
      </c>
      <c r="C259">
        <v>36.9</v>
      </c>
      <c r="D259">
        <v>33993</v>
      </c>
      <c r="E259">
        <v>33113</v>
      </c>
      <c r="F259">
        <v>67106</v>
      </c>
      <c r="G259">
        <v>2485</v>
      </c>
      <c r="H259">
        <v>12352</v>
      </c>
      <c r="I259">
        <v>2.57</v>
      </c>
    </row>
    <row r="260" spans="1:9" ht="16">
      <c r="A260" t="s">
        <v>384</v>
      </c>
      <c r="B260" t="s">
        <v>146</v>
      </c>
      <c r="C260">
        <v>32</v>
      </c>
      <c r="D260">
        <v>38492</v>
      </c>
      <c r="E260">
        <v>40411</v>
      </c>
      <c r="F260">
        <v>78903</v>
      </c>
      <c r="G260">
        <v>5158</v>
      </c>
      <c r="H260">
        <v>8376</v>
      </c>
      <c r="I260">
        <v>2.78</v>
      </c>
    </row>
    <row r="261" spans="1:9" ht="16">
      <c r="A261" t="s">
        <v>385</v>
      </c>
      <c r="B261" t="s">
        <v>109</v>
      </c>
      <c r="C261">
        <v>36.299999999999997</v>
      </c>
      <c r="D261">
        <v>49349</v>
      </c>
      <c r="E261">
        <v>50507</v>
      </c>
      <c r="F261">
        <v>99856</v>
      </c>
      <c r="G261">
        <v>6238</v>
      </c>
      <c r="H261">
        <v>7443</v>
      </c>
      <c r="I261">
        <v>2.5499999999999998</v>
      </c>
    </row>
    <row r="262" spans="1:9" ht="16">
      <c r="A262" t="s">
        <v>386</v>
      </c>
      <c r="B262" t="s">
        <v>146</v>
      </c>
      <c r="C262">
        <v>33.4</v>
      </c>
      <c r="D262">
        <v>61825</v>
      </c>
      <c r="E262">
        <v>65137</v>
      </c>
      <c r="F262">
        <v>126962</v>
      </c>
      <c r="G262">
        <v>7985</v>
      </c>
      <c r="H262">
        <v>38175</v>
      </c>
      <c r="I262">
        <v>3.06</v>
      </c>
    </row>
    <row r="263" spans="1:9" ht="16">
      <c r="A263" t="s">
        <v>387</v>
      </c>
      <c r="B263" t="s">
        <v>32</v>
      </c>
      <c r="C263">
        <v>29.2</v>
      </c>
      <c r="D263">
        <v>69442</v>
      </c>
      <c r="E263">
        <v>71367</v>
      </c>
      <c r="F263">
        <v>140809</v>
      </c>
      <c r="G263">
        <v>24281</v>
      </c>
      <c r="H263">
        <v>15769</v>
      </c>
      <c r="I263">
        <v>2.72</v>
      </c>
    </row>
    <row r="264" spans="1:9" ht="16">
      <c r="A264" t="s">
        <v>388</v>
      </c>
      <c r="B264" t="s">
        <v>146</v>
      </c>
      <c r="C264">
        <v>40.799999999999997</v>
      </c>
      <c r="D264">
        <v>42159</v>
      </c>
      <c r="E264">
        <v>45108</v>
      </c>
      <c r="F264">
        <v>87267</v>
      </c>
      <c r="G264">
        <v>5156</v>
      </c>
      <c r="H264">
        <v>18570</v>
      </c>
      <c r="I264">
        <v>2.2999999999999998</v>
      </c>
    </row>
    <row r="265" spans="1:9" ht="16">
      <c r="A265" t="s">
        <v>389</v>
      </c>
      <c r="B265" t="s">
        <v>39</v>
      </c>
      <c r="C265">
        <v>36.700000000000003</v>
      </c>
      <c r="D265">
        <v>33283</v>
      </c>
      <c r="E265">
        <v>35869</v>
      </c>
      <c r="F265">
        <v>69152</v>
      </c>
      <c r="G265">
        <v>2449</v>
      </c>
      <c r="H265">
        <v>16879</v>
      </c>
      <c r="I265">
        <v>3.01</v>
      </c>
    </row>
    <row r="266" spans="1:9" ht="16">
      <c r="A266" t="s">
        <v>390</v>
      </c>
      <c r="B266" t="s">
        <v>111</v>
      </c>
      <c r="C266">
        <v>33.1</v>
      </c>
      <c r="D266">
        <v>89978</v>
      </c>
      <c r="E266">
        <v>95334</v>
      </c>
      <c r="F266">
        <v>185312</v>
      </c>
      <c r="G266">
        <v>10897</v>
      </c>
      <c r="H266">
        <v>10285</v>
      </c>
      <c r="I266">
        <v>2.21</v>
      </c>
    </row>
    <row r="267" spans="1:9" ht="16">
      <c r="A267" t="s">
        <v>391</v>
      </c>
      <c r="B267" t="s">
        <v>52</v>
      </c>
      <c r="C267">
        <v>31.7</v>
      </c>
      <c r="D267">
        <v>64018</v>
      </c>
      <c r="E267">
        <v>63643</v>
      </c>
      <c r="F267">
        <v>127661</v>
      </c>
      <c r="G267">
        <v>5206</v>
      </c>
      <c r="H267">
        <v>5396</v>
      </c>
      <c r="I267">
        <v>2.54</v>
      </c>
    </row>
    <row r="268" spans="1:9" ht="16">
      <c r="A268" t="s">
        <v>391</v>
      </c>
      <c r="B268" t="s">
        <v>80</v>
      </c>
      <c r="C268">
        <v>33.5</v>
      </c>
      <c r="D268">
        <v>34313</v>
      </c>
      <c r="E268">
        <v>36857</v>
      </c>
      <c r="F268">
        <v>71170</v>
      </c>
      <c r="G268">
        <v>5045</v>
      </c>
      <c r="H268">
        <v>5697</v>
      </c>
      <c r="I268">
        <v>2.19</v>
      </c>
    </row>
    <row r="269" spans="1:9" ht="16">
      <c r="A269" t="s">
        <v>392</v>
      </c>
      <c r="B269" t="s">
        <v>30</v>
      </c>
      <c r="C269">
        <v>45.8</v>
      </c>
      <c r="D269">
        <v>30193</v>
      </c>
      <c r="E269">
        <v>35619</v>
      </c>
      <c r="F269">
        <v>65812</v>
      </c>
      <c r="G269">
        <v>2648</v>
      </c>
      <c r="H269">
        <v>12571</v>
      </c>
      <c r="I269">
        <v>2.58</v>
      </c>
    </row>
    <row r="270" spans="1:9" ht="16">
      <c r="A270" t="s">
        <v>393</v>
      </c>
      <c r="B270" t="s">
        <v>52</v>
      </c>
      <c r="C270">
        <v>31.8</v>
      </c>
      <c r="D270">
        <v>35678</v>
      </c>
      <c r="E270">
        <v>40388</v>
      </c>
      <c r="F270">
        <v>76066</v>
      </c>
      <c r="G270">
        <v>4477</v>
      </c>
      <c r="H270">
        <v>3215</v>
      </c>
      <c r="I270">
        <v>2.36</v>
      </c>
    </row>
    <row r="271" spans="1:9" ht="16">
      <c r="A271" t="s">
        <v>394</v>
      </c>
      <c r="B271" t="s">
        <v>30</v>
      </c>
      <c r="C271">
        <v>40.299999999999997</v>
      </c>
      <c r="D271">
        <v>41515</v>
      </c>
      <c r="E271">
        <v>40982</v>
      </c>
      <c r="F271">
        <v>82497</v>
      </c>
      <c r="G271">
        <v>3748</v>
      </c>
      <c r="H271">
        <v>20784</v>
      </c>
      <c r="I271">
        <v>2.76</v>
      </c>
    </row>
    <row r="272" spans="1:9" ht="16">
      <c r="A272" t="s">
        <v>395</v>
      </c>
      <c r="B272" t="s">
        <v>39</v>
      </c>
      <c r="C272">
        <v>38.1</v>
      </c>
      <c r="D272">
        <v>47840</v>
      </c>
      <c r="E272">
        <v>56570</v>
      </c>
      <c r="F272">
        <v>104410</v>
      </c>
      <c r="G272">
        <v>7390</v>
      </c>
      <c r="H272">
        <v>11592</v>
      </c>
      <c r="I272">
        <v>2.56</v>
      </c>
    </row>
    <row r="273" spans="1:9" ht="16">
      <c r="A273" t="s">
        <v>396</v>
      </c>
      <c r="B273" t="s">
        <v>41</v>
      </c>
      <c r="C273">
        <v>37.700000000000003</v>
      </c>
      <c r="D273">
        <v>76013</v>
      </c>
      <c r="E273">
        <v>76576</v>
      </c>
      <c r="F273">
        <v>152589</v>
      </c>
      <c r="G273">
        <v>9988</v>
      </c>
      <c r="H273">
        <v>14169</v>
      </c>
      <c r="I273">
        <v>2.29</v>
      </c>
    </row>
    <row r="274" spans="1:9" ht="16">
      <c r="A274" t="s">
        <v>396</v>
      </c>
      <c r="B274" t="s">
        <v>30</v>
      </c>
      <c r="C274">
        <v>39.9</v>
      </c>
      <c r="D274">
        <v>41523</v>
      </c>
      <c r="E274">
        <v>40069</v>
      </c>
      <c r="F274">
        <v>81592</v>
      </c>
      <c r="G274">
        <v>4094</v>
      </c>
      <c r="H274">
        <v>18274</v>
      </c>
      <c r="I274">
        <v>3.13</v>
      </c>
    </row>
    <row r="275" spans="1:9" ht="16">
      <c r="A275" t="s">
        <v>397</v>
      </c>
      <c r="B275" t="s">
        <v>30</v>
      </c>
      <c r="C275">
        <v>30.9</v>
      </c>
      <c r="D275">
        <v>80668</v>
      </c>
      <c r="E275">
        <v>80445</v>
      </c>
      <c r="F275">
        <v>161113</v>
      </c>
      <c r="G275">
        <v>7892</v>
      </c>
      <c r="H275">
        <v>17247</v>
      </c>
      <c r="I275">
        <v>3.25</v>
      </c>
    </row>
    <row r="276" spans="1:9" ht="16">
      <c r="A276" t="s">
        <v>398</v>
      </c>
      <c r="B276" t="s">
        <v>76</v>
      </c>
      <c r="C276">
        <v>31.4</v>
      </c>
      <c r="D276">
        <v>54333</v>
      </c>
      <c r="E276">
        <v>59777</v>
      </c>
      <c r="F276">
        <v>114110</v>
      </c>
      <c r="G276">
        <v>5327</v>
      </c>
      <c r="H276">
        <v>8371</v>
      </c>
      <c r="I276">
        <v>2.39</v>
      </c>
    </row>
    <row r="277" spans="1:9" ht="16">
      <c r="A277" t="s">
        <v>103</v>
      </c>
      <c r="B277" t="s">
        <v>32</v>
      </c>
      <c r="C277">
        <v>28.8</v>
      </c>
      <c r="D277">
        <v>124305</v>
      </c>
      <c r="E277">
        <v>131484</v>
      </c>
      <c r="F277">
        <v>255789</v>
      </c>
      <c r="G277">
        <v>4921</v>
      </c>
      <c r="H277">
        <v>68427</v>
      </c>
      <c r="I277">
        <v>3.66</v>
      </c>
    </row>
    <row r="278" spans="1:9" ht="16">
      <c r="A278" t="s">
        <v>399</v>
      </c>
      <c r="B278" t="s">
        <v>39</v>
      </c>
      <c r="C278">
        <v>45.1</v>
      </c>
      <c r="D278">
        <v>38166</v>
      </c>
      <c r="E278">
        <v>42841</v>
      </c>
      <c r="F278">
        <v>81007</v>
      </c>
      <c r="G278">
        <v>8310</v>
      </c>
      <c r="H278">
        <v>10489</v>
      </c>
      <c r="I278">
        <v>2.2799999999999998</v>
      </c>
    </row>
    <row r="279" spans="1:9" ht="16">
      <c r="A279" t="s">
        <v>400</v>
      </c>
      <c r="B279" t="s">
        <v>26</v>
      </c>
      <c r="C279">
        <v>32.700000000000003</v>
      </c>
      <c r="D279">
        <v>47835</v>
      </c>
      <c r="E279">
        <v>53809</v>
      </c>
      <c r="F279">
        <v>101644</v>
      </c>
      <c r="G279">
        <v>9421</v>
      </c>
      <c r="H279">
        <v>11888</v>
      </c>
      <c r="I279">
        <v>2.58</v>
      </c>
    </row>
    <row r="280" spans="1:9" ht="16">
      <c r="A280" t="s">
        <v>104</v>
      </c>
      <c r="B280" t="s">
        <v>89</v>
      </c>
      <c r="C280">
        <v>37.5</v>
      </c>
      <c r="D280">
        <v>310568</v>
      </c>
      <c r="E280">
        <v>313201</v>
      </c>
      <c r="F280">
        <v>623769</v>
      </c>
      <c r="G280">
        <v>42397</v>
      </c>
      <c r="H280">
        <v>127609</v>
      </c>
      <c r="I280">
        <v>2.79</v>
      </c>
    </row>
    <row r="281" spans="1:9" ht="16">
      <c r="A281" t="s">
        <v>401</v>
      </c>
      <c r="B281" t="s">
        <v>39</v>
      </c>
      <c r="C281">
        <v>35.700000000000003</v>
      </c>
      <c r="D281">
        <v>32813</v>
      </c>
      <c r="E281">
        <v>38761</v>
      </c>
      <c r="F281">
        <v>71574</v>
      </c>
      <c r="G281">
        <v>1965</v>
      </c>
      <c r="H281">
        <v>25471</v>
      </c>
      <c r="I281">
        <v>3.02</v>
      </c>
    </row>
    <row r="282" spans="1:9" ht="16">
      <c r="A282" t="s">
        <v>402</v>
      </c>
      <c r="B282" t="s">
        <v>158</v>
      </c>
      <c r="C282">
        <v>27.4</v>
      </c>
      <c r="D282">
        <v>45592</v>
      </c>
      <c r="E282">
        <v>48324</v>
      </c>
      <c r="F282">
        <v>93916</v>
      </c>
      <c r="G282">
        <v>2986</v>
      </c>
      <c r="H282">
        <v>8701</v>
      </c>
      <c r="I282">
        <v>2.5299999999999998</v>
      </c>
    </row>
    <row r="283" spans="1:9" ht="16">
      <c r="A283" t="s">
        <v>402</v>
      </c>
      <c r="B283" t="s">
        <v>36</v>
      </c>
      <c r="C283">
        <v>30.8</v>
      </c>
      <c r="D283">
        <v>37464</v>
      </c>
      <c r="E283">
        <v>42776</v>
      </c>
      <c r="F283">
        <v>80240</v>
      </c>
      <c r="G283">
        <v>1190</v>
      </c>
      <c r="H283">
        <v>29170</v>
      </c>
      <c r="I283">
        <v>3.17</v>
      </c>
    </row>
    <row r="284" spans="1:9" ht="16">
      <c r="A284" t="s">
        <v>403</v>
      </c>
      <c r="B284" t="s">
        <v>125</v>
      </c>
      <c r="C284">
        <v>31.1</v>
      </c>
      <c r="D284">
        <v>51099</v>
      </c>
      <c r="E284">
        <v>45560</v>
      </c>
      <c r="F284">
        <v>96659</v>
      </c>
      <c r="G284">
        <v>11572</v>
      </c>
      <c r="H284">
        <v>6123</v>
      </c>
      <c r="I284">
        <v>2.72</v>
      </c>
    </row>
    <row r="285" spans="1:9" ht="16">
      <c r="A285" t="s">
        <v>404</v>
      </c>
      <c r="B285" t="s">
        <v>405</v>
      </c>
      <c r="C285">
        <v>29.5</v>
      </c>
      <c r="D285">
        <v>37748</v>
      </c>
      <c r="E285">
        <v>36394</v>
      </c>
      <c r="F285">
        <v>74142</v>
      </c>
      <c r="G285">
        <v>3811</v>
      </c>
      <c r="H285">
        <v>4268</v>
      </c>
      <c r="I285">
        <v>3.24</v>
      </c>
    </row>
    <row r="286" spans="1:9" ht="16">
      <c r="A286" t="s">
        <v>406</v>
      </c>
      <c r="B286" t="s">
        <v>32</v>
      </c>
      <c r="C286">
        <v>35.9</v>
      </c>
      <c r="D286">
        <v>49354</v>
      </c>
      <c r="E286">
        <v>48996</v>
      </c>
      <c r="F286">
        <v>98350</v>
      </c>
      <c r="G286">
        <v>6484</v>
      </c>
      <c r="H286">
        <v>8361</v>
      </c>
      <c r="I286">
        <v>2.72</v>
      </c>
    </row>
    <row r="287" spans="1:9" ht="16">
      <c r="A287" t="s">
        <v>407</v>
      </c>
      <c r="B287" t="s">
        <v>101</v>
      </c>
      <c r="C287">
        <v>36.799999999999997</v>
      </c>
      <c r="D287">
        <v>48353</v>
      </c>
      <c r="E287">
        <v>46715</v>
      </c>
      <c r="F287">
        <v>95068</v>
      </c>
      <c r="G287">
        <v>6624</v>
      </c>
      <c r="H287">
        <v>3803</v>
      </c>
      <c r="I287">
        <v>2.68</v>
      </c>
    </row>
    <row r="288" spans="1:9" ht="16">
      <c r="A288" t="s">
        <v>408</v>
      </c>
      <c r="B288" t="s">
        <v>39</v>
      </c>
      <c r="C288">
        <v>34.299999999999997</v>
      </c>
      <c r="D288">
        <v>57856</v>
      </c>
      <c r="E288">
        <v>61624</v>
      </c>
      <c r="F288">
        <v>119480</v>
      </c>
      <c r="G288">
        <v>5551</v>
      </c>
      <c r="H288">
        <v>31880</v>
      </c>
      <c r="I288">
        <v>3.55</v>
      </c>
    </row>
    <row r="289" spans="1:9" ht="16">
      <c r="A289" t="s">
        <v>409</v>
      </c>
      <c r="B289" t="s">
        <v>32</v>
      </c>
      <c r="C289">
        <v>31.6</v>
      </c>
      <c r="D289">
        <v>52776</v>
      </c>
      <c r="E289">
        <v>52032</v>
      </c>
      <c r="F289">
        <v>104808</v>
      </c>
      <c r="G289">
        <v>4211</v>
      </c>
      <c r="H289">
        <v>24865</v>
      </c>
      <c r="I289">
        <v>2.78</v>
      </c>
    </row>
    <row r="290" spans="1:9" ht="16">
      <c r="A290" t="s">
        <v>410</v>
      </c>
      <c r="B290" t="s">
        <v>105</v>
      </c>
      <c r="C290">
        <v>34.4</v>
      </c>
      <c r="D290">
        <v>154032</v>
      </c>
      <c r="E290">
        <v>160456</v>
      </c>
      <c r="F290">
        <v>314488</v>
      </c>
      <c r="G290">
        <v>16661</v>
      </c>
      <c r="H290">
        <v>28613</v>
      </c>
      <c r="I290">
        <v>2.34</v>
      </c>
    </row>
    <row r="291" spans="1:9" ht="16">
      <c r="A291" t="s">
        <v>411</v>
      </c>
      <c r="B291" t="s">
        <v>127</v>
      </c>
      <c r="C291">
        <v>32.299999999999997</v>
      </c>
      <c r="D291">
        <v>138544</v>
      </c>
      <c r="E291">
        <v>138802</v>
      </c>
      <c r="F291">
        <v>277346</v>
      </c>
      <c r="G291">
        <v>14694</v>
      </c>
      <c r="H291">
        <v>22958</v>
      </c>
      <c r="I291">
        <v>2.4</v>
      </c>
    </row>
    <row r="292" spans="1:9" ht="16">
      <c r="A292" t="s">
        <v>412</v>
      </c>
      <c r="B292" t="s">
        <v>320</v>
      </c>
      <c r="C292">
        <v>36.6</v>
      </c>
      <c r="D292">
        <v>96997</v>
      </c>
      <c r="E292">
        <v>100989</v>
      </c>
      <c r="F292">
        <v>197986</v>
      </c>
      <c r="G292">
        <v>12343</v>
      </c>
      <c r="H292">
        <v>16640</v>
      </c>
      <c r="I292">
        <v>2.36</v>
      </c>
    </row>
    <row r="293" spans="1:9" ht="16">
      <c r="A293" t="s">
        <v>413</v>
      </c>
      <c r="B293" t="s">
        <v>30</v>
      </c>
      <c r="C293">
        <v>36.700000000000003</v>
      </c>
      <c r="D293">
        <v>41522</v>
      </c>
      <c r="E293">
        <v>46595</v>
      </c>
      <c r="F293">
        <v>88117</v>
      </c>
      <c r="G293">
        <v>3063</v>
      </c>
      <c r="H293">
        <v>13959</v>
      </c>
      <c r="I293">
        <v>2.91</v>
      </c>
    </row>
    <row r="294" spans="1:9" ht="16">
      <c r="A294" t="s">
        <v>414</v>
      </c>
      <c r="B294" t="s">
        <v>76</v>
      </c>
      <c r="C294">
        <v>47.4</v>
      </c>
      <c r="D294">
        <v>45369</v>
      </c>
      <c r="E294">
        <v>49264</v>
      </c>
      <c r="F294">
        <v>94633</v>
      </c>
      <c r="G294">
        <v>5397</v>
      </c>
      <c r="H294">
        <v>7175</v>
      </c>
      <c r="I294">
        <v>2.52</v>
      </c>
    </row>
    <row r="295" spans="1:9" ht="16">
      <c r="A295" t="s">
        <v>107</v>
      </c>
      <c r="B295" t="s">
        <v>30</v>
      </c>
      <c r="C295">
        <v>34.6</v>
      </c>
      <c r="D295">
        <v>238159</v>
      </c>
      <c r="E295">
        <v>236013</v>
      </c>
      <c r="F295">
        <v>474172</v>
      </c>
      <c r="G295">
        <v>17463</v>
      </c>
      <c r="H295">
        <v>127764</v>
      </c>
      <c r="I295">
        <v>2.78</v>
      </c>
    </row>
    <row r="296" spans="1:9" ht="16">
      <c r="A296" t="s">
        <v>415</v>
      </c>
      <c r="B296" t="s">
        <v>41</v>
      </c>
      <c r="C296">
        <v>36.799999999999997</v>
      </c>
      <c r="D296">
        <v>43941</v>
      </c>
      <c r="E296">
        <v>48280</v>
      </c>
      <c r="F296">
        <v>92221</v>
      </c>
      <c r="G296">
        <v>4925</v>
      </c>
      <c r="H296">
        <v>10424</v>
      </c>
      <c r="I296">
        <v>2.63</v>
      </c>
    </row>
    <row r="297" spans="1:9" ht="16">
      <c r="A297" t="s">
        <v>416</v>
      </c>
      <c r="B297" t="s">
        <v>32</v>
      </c>
      <c r="C297">
        <v>36.799999999999997</v>
      </c>
      <c r="D297">
        <v>40065</v>
      </c>
      <c r="E297">
        <v>41525</v>
      </c>
      <c r="F297">
        <v>81590</v>
      </c>
      <c r="G297">
        <v>5512</v>
      </c>
      <c r="H297">
        <v>8782</v>
      </c>
      <c r="I297">
        <v>2.5499999999999998</v>
      </c>
    </row>
    <row r="298" spans="1:9" ht="16">
      <c r="A298" t="s">
        <v>417</v>
      </c>
      <c r="B298" t="s">
        <v>66</v>
      </c>
      <c r="C298">
        <v>35.6</v>
      </c>
      <c r="D298">
        <v>30844</v>
      </c>
      <c r="E298">
        <v>32807</v>
      </c>
      <c r="F298">
        <v>63651</v>
      </c>
      <c r="G298">
        <v>4905</v>
      </c>
      <c r="H298">
        <v>1531</v>
      </c>
      <c r="I298">
        <v>2.52</v>
      </c>
    </row>
    <row r="299" spans="1:9" ht="16">
      <c r="A299" t="s">
        <v>38</v>
      </c>
      <c r="B299" t="s">
        <v>30</v>
      </c>
      <c r="C299">
        <v>35</v>
      </c>
      <c r="D299">
        <v>1958998</v>
      </c>
      <c r="E299">
        <v>2012898</v>
      </c>
      <c r="F299">
        <v>3971896</v>
      </c>
      <c r="G299">
        <v>85417</v>
      </c>
      <c r="H299">
        <v>1485425</v>
      </c>
      <c r="I299">
        <v>2.86</v>
      </c>
    </row>
    <row r="300" spans="1:9" ht="16">
      <c r="A300" t="s">
        <v>418</v>
      </c>
      <c r="B300" t="s">
        <v>105</v>
      </c>
      <c r="C300">
        <v>37.5</v>
      </c>
      <c r="D300">
        <v>298451</v>
      </c>
      <c r="E300">
        <v>316938</v>
      </c>
      <c r="F300">
        <v>615389</v>
      </c>
      <c r="G300">
        <v>39364</v>
      </c>
      <c r="H300">
        <v>37875</v>
      </c>
      <c r="I300">
        <v>2.4500000000000002</v>
      </c>
    </row>
    <row r="301" spans="1:9" ht="16">
      <c r="A301" t="s">
        <v>419</v>
      </c>
      <c r="B301" t="s">
        <v>41</v>
      </c>
      <c r="C301">
        <v>37.6</v>
      </c>
      <c r="D301">
        <v>37042</v>
      </c>
      <c r="E301">
        <v>38146</v>
      </c>
      <c r="F301">
        <v>75188</v>
      </c>
      <c r="G301">
        <v>5667</v>
      </c>
      <c r="H301">
        <v>3050</v>
      </c>
      <c r="I301">
        <v>2.5299999999999998</v>
      </c>
    </row>
    <row r="302" spans="1:9" ht="16">
      <c r="A302" t="s">
        <v>420</v>
      </c>
      <c r="B302" t="s">
        <v>36</v>
      </c>
      <c r="C302">
        <v>33.4</v>
      </c>
      <c r="D302">
        <v>54422</v>
      </c>
      <c r="E302">
        <v>56298</v>
      </c>
      <c r="F302">
        <v>110720</v>
      </c>
      <c r="G302">
        <v>3764</v>
      </c>
      <c r="H302">
        <v>33414</v>
      </c>
      <c r="I302">
        <v>2.8</v>
      </c>
    </row>
    <row r="303" spans="1:9" ht="16">
      <c r="A303" t="s">
        <v>421</v>
      </c>
      <c r="B303" t="s">
        <v>32</v>
      </c>
      <c r="C303">
        <v>29.2</v>
      </c>
      <c r="D303">
        <v>122320</v>
      </c>
      <c r="E303">
        <v>126731</v>
      </c>
      <c r="F303">
        <v>249051</v>
      </c>
      <c r="G303">
        <v>10588</v>
      </c>
      <c r="H303">
        <v>14226</v>
      </c>
      <c r="I303">
        <v>2.61</v>
      </c>
    </row>
    <row r="304" spans="1:9" ht="16">
      <c r="A304" t="s">
        <v>422</v>
      </c>
      <c r="B304" t="s">
        <v>61</v>
      </c>
      <c r="C304">
        <v>28.7</v>
      </c>
      <c r="D304">
        <v>38614</v>
      </c>
      <c r="E304">
        <v>41198</v>
      </c>
      <c r="F304">
        <v>79812</v>
      </c>
      <c r="G304">
        <v>4322</v>
      </c>
      <c r="H304">
        <v>4364</v>
      </c>
      <c r="I304">
        <v>2.48</v>
      </c>
    </row>
    <row r="305" spans="1:9" ht="16">
      <c r="A305" t="s">
        <v>423</v>
      </c>
      <c r="B305" t="s">
        <v>36</v>
      </c>
      <c r="C305">
        <v>34.799999999999997</v>
      </c>
      <c r="D305">
        <v>44598</v>
      </c>
      <c r="E305">
        <v>47861</v>
      </c>
      <c r="F305">
        <v>92459</v>
      </c>
      <c r="G305">
        <v>3093</v>
      </c>
      <c r="H305">
        <v>29899</v>
      </c>
      <c r="I305">
        <v>2.81</v>
      </c>
    </row>
    <row r="306" spans="1:9" ht="16">
      <c r="A306" t="s">
        <v>424</v>
      </c>
      <c r="B306" t="s">
        <v>30</v>
      </c>
      <c r="C306">
        <v>29.4</v>
      </c>
      <c r="D306">
        <v>35634</v>
      </c>
      <c r="E306">
        <v>36371</v>
      </c>
      <c r="F306">
        <v>72005</v>
      </c>
      <c r="G306">
        <v>776</v>
      </c>
      <c r="H306">
        <v>28061</v>
      </c>
      <c r="I306">
        <v>4.43</v>
      </c>
    </row>
    <row r="307" spans="1:9" ht="16">
      <c r="A307" t="s">
        <v>425</v>
      </c>
      <c r="B307" t="s">
        <v>28</v>
      </c>
      <c r="C307">
        <v>36</v>
      </c>
      <c r="D307">
        <v>71833</v>
      </c>
      <c r="E307">
        <v>81626</v>
      </c>
      <c r="F307">
        <v>153459</v>
      </c>
      <c r="G307">
        <v>10735</v>
      </c>
      <c r="H307">
        <v>4846</v>
      </c>
      <c r="I307">
        <v>2.46</v>
      </c>
    </row>
    <row r="308" spans="1:9" ht="16">
      <c r="A308" t="s">
        <v>110</v>
      </c>
      <c r="B308" t="s">
        <v>109</v>
      </c>
      <c r="C308">
        <v>30.7</v>
      </c>
      <c r="D308">
        <v>122596</v>
      </c>
      <c r="E308">
        <v>126360</v>
      </c>
      <c r="F308">
        <v>248956</v>
      </c>
      <c r="G308">
        <v>9707</v>
      </c>
      <c r="H308">
        <v>30090</v>
      </c>
      <c r="I308">
        <v>2.23</v>
      </c>
    </row>
    <row r="309" spans="1:9" ht="16">
      <c r="A309" t="s">
        <v>426</v>
      </c>
      <c r="B309" t="s">
        <v>427</v>
      </c>
      <c r="C309">
        <v>37.299999999999997</v>
      </c>
      <c r="D309">
        <v>54845</v>
      </c>
      <c r="E309">
        <v>55378</v>
      </c>
      <c r="F309">
        <v>110223</v>
      </c>
      <c r="G309">
        <v>5473</v>
      </c>
      <c r="H309">
        <v>14506</v>
      </c>
      <c r="I309">
        <v>2.4</v>
      </c>
    </row>
    <row r="310" spans="1:9" ht="16">
      <c r="A310" t="s">
        <v>428</v>
      </c>
      <c r="B310" t="s">
        <v>30</v>
      </c>
      <c r="C310">
        <v>35.299999999999997</v>
      </c>
      <c r="D310">
        <v>37053</v>
      </c>
      <c r="E310">
        <v>38397</v>
      </c>
      <c r="F310">
        <v>75450</v>
      </c>
      <c r="G310">
        <v>3936</v>
      </c>
      <c r="H310">
        <v>13942</v>
      </c>
      <c r="I310">
        <v>3.25</v>
      </c>
    </row>
    <row r="311" spans="1:9" ht="16">
      <c r="A311" t="s">
        <v>429</v>
      </c>
      <c r="B311" t="s">
        <v>115</v>
      </c>
      <c r="C311">
        <v>38.6</v>
      </c>
      <c r="D311">
        <v>31780</v>
      </c>
      <c r="E311">
        <v>36601</v>
      </c>
      <c r="F311">
        <v>68381</v>
      </c>
      <c r="G311">
        <v>2943</v>
      </c>
      <c r="H311">
        <v>7645</v>
      </c>
      <c r="I311">
        <v>2.64</v>
      </c>
    </row>
    <row r="312" spans="1:9" ht="16">
      <c r="A312" t="s">
        <v>430</v>
      </c>
      <c r="B312" t="s">
        <v>146</v>
      </c>
      <c r="C312">
        <v>33.200000000000003</v>
      </c>
      <c r="D312">
        <v>33436</v>
      </c>
      <c r="E312">
        <v>33337</v>
      </c>
      <c r="F312">
        <v>66773</v>
      </c>
      <c r="G312">
        <v>5714</v>
      </c>
      <c r="H312">
        <v>7721</v>
      </c>
      <c r="I312">
        <v>2.79</v>
      </c>
    </row>
    <row r="313" spans="1:9" ht="16">
      <c r="A313" t="s">
        <v>431</v>
      </c>
      <c r="B313" t="s">
        <v>204</v>
      </c>
      <c r="C313">
        <v>38.1</v>
      </c>
      <c r="D313">
        <v>30799</v>
      </c>
      <c r="E313">
        <v>35782</v>
      </c>
      <c r="F313">
        <v>66581</v>
      </c>
    </row>
    <row r="314" spans="1:9" ht="16">
      <c r="A314" t="s">
        <v>432</v>
      </c>
      <c r="B314" t="s">
        <v>32</v>
      </c>
      <c r="C314">
        <v>32.299999999999997</v>
      </c>
      <c r="D314">
        <v>68332</v>
      </c>
      <c r="E314">
        <v>71921</v>
      </c>
      <c r="F314">
        <v>140253</v>
      </c>
      <c r="G314">
        <v>4356</v>
      </c>
      <c r="H314">
        <v>37691</v>
      </c>
      <c r="I314">
        <v>3.19</v>
      </c>
    </row>
    <row r="315" spans="1:9" ht="16">
      <c r="A315" t="s">
        <v>433</v>
      </c>
      <c r="B315" t="s">
        <v>32</v>
      </c>
      <c r="C315">
        <v>35.6</v>
      </c>
      <c r="D315">
        <v>77339</v>
      </c>
      <c r="E315">
        <v>85548</v>
      </c>
      <c r="F315">
        <v>162887</v>
      </c>
      <c r="G315">
        <v>8082</v>
      </c>
      <c r="H315">
        <v>25760</v>
      </c>
      <c r="I315">
        <v>2.91</v>
      </c>
    </row>
    <row r="316" spans="1:9" ht="16">
      <c r="A316" t="s">
        <v>434</v>
      </c>
      <c r="B316" t="s">
        <v>133</v>
      </c>
      <c r="C316">
        <v>38.6</v>
      </c>
      <c r="D316">
        <v>39606</v>
      </c>
      <c r="E316">
        <v>40189</v>
      </c>
      <c r="F316">
        <v>79795</v>
      </c>
      <c r="G316">
        <v>6632</v>
      </c>
      <c r="H316">
        <v>6185</v>
      </c>
      <c r="I316">
        <v>2.65</v>
      </c>
    </row>
    <row r="317" spans="1:9" ht="16">
      <c r="A317" t="s">
        <v>435</v>
      </c>
      <c r="B317" t="s">
        <v>39</v>
      </c>
      <c r="C317">
        <v>43.4</v>
      </c>
      <c r="D317">
        <v>39180</v>
      </c>
      <c r="E317">
        <v>40956</v>
      </c>
      <c r="F317">
        <v>80136</v>
      </c>
      <c r="G317">
        <v>8363</v>
      </c>
      <c r="H317">
        <v>9685</v>
      </c>
      <c r="I317">
        <v>2.37</v>
      </c>
    </row>
    <row r="318" spans="1:9" ht="16">
      <c r="A318" t="s">
        <v>112</v>
      </c>
      <c r="B318" t="s">
        <v>111</v>
      </c>
      <c r="C318">
        <v>34.1</v>
      </c>
      <c r="D318">
        <v>312237</v>
      </c>
      <c r="E318">
        <v>343523</v>
      </c>
      <c r="F318">
        <v>655760</v>
      </c>
      <c r="G318">
        <v>31189</v>
      </c>
      <c r="H318">
        <v>43318</v>
      </c>
      <c r="I318">
        <v>2.5499999999999998</v>
      </c>
    </row>
    <row r="319" spans="1:9" ht="16">
      <c r="A319" t="s">
        <v>436</v>
      </c>
      <c r="B319" t="s">
        <v>30</v>
      </c>
      <c r="C319">
        <v>37.1</v>
      </c>
      <c r="D319">
        <v>42866</v>
      </c>
      <c r="E319">
        <v>44297</v>
      </c>
      <c r="F319">
        <v>87163</v>
      </c>
      <c r="G319">
        <v>6821</v>
      </c>
      <c r="H319">
        <v>12481</v>
      </c>
      <c r="I319">
        <v>3.06</v>
      </c>
    </row>
    <row r="320" spans="1:9" ht="16">
      <c r="A320" t="s">
        <v>437</v>
      </c>
      <c r="B320" t="s">
        <v>30</v>
      </c>
      <c r="C320">
        <v>29.7</v>
      </c>
      <c r="D320">
        <v>40048</v>
      </c>
      <c r="E320">
        <v>42392</v>
      </c>
      <c r="F320">
        <v>82440</v>
      </c>
      <c r="G320">
        <v>3723</v>
      </c>
      <c r="H320">
        <v>16348</v>
      </c>
      <c r="I320">
        <v>3.15</v>
      </c>
    </row>
    <row r="321" spans="1:9" ht="16">
      <c r="A321" t="s">
        <v>438</v>
      </c>
      <c r="B321" t="s">
        <v>54</v>
      </c>
      <c r="C321">
        <v>38</v>
      </c>
      <c r="D321">
        <v>43353</v>
      </c>
      <c r="E321">
        <v>47400</v>
      </c>
      <c r="F321">
        <v>90753</v>
      </c>
      <c r="G321">
        <v>5640</v>
      </c>
      <c r="H321">
        <v>8110</v>
      </c>
      <c r="I321">
        <v>2.54</v>
      </c>
    </row>
    <row r="322" spans="1:9" ht="16">
      <c r="A322" t="s">
        <v>113</v>
      </c>
      <c r="B322" t="s">
        <v>57</v>
      </c>
      <c r="C322">
        <v>36.9</v>
      </c>
      <c r="D322">
        <v>234998</v>
      </c>
      <c r="E322">
        <v>236835</v>
      </c>
      <c r="F322">
        <v>471833</v>
      </c>
      <c r="G322">
        <v>31808</v>
      </c>
      <c r="H322">
        <v>57492</v>
      </c>
      <c r="I322">
        <v>2.68</v>
      </c>
    </row>
    <row r="323" spans="1:9" ht="16">
      <c r="A323" t="s">
        <v>439</v>
      </c>
      <c r="B323" t="s">
        <v>32</v>
      </c>
      <c r="C323">
        <v>34.6</v>
      </c>
      <c r="D323">
        <v>69240</v>
      </c>
      <c r="E323">
        <v>75884</v>
      </c>
      <c r="F323">
        <v>145124</v>
      </c>
      <c r="G323">
        <v>6438</v>
      </c>
      <c r="H323">
        <v>26755</v>
      </c>
      <c r="I323">
        <v>2.96</v>
      </c>
    </row>
    <row r="324" spans="1:9" ht="16">
      <c r="A324" t="s">
        <v>440</v>
      </c>
      <c r="B324" t="s">
        <v>52</v>
      </c>
      <c r="C324">
        <v>41.6</v>
      </c>
      <c r="D324">
        <v>69515</v>
      </c>
      <c r="E324">
        <v>76943</v>
      </c>
      <c r="F324">
        <v>146458</v>
      </c>
      <c r="G324">
        <v>7187</v>
      </c>
      <c r="H324">
        <v>19871</v>
      </c>
      <c r="I324">
        <v>2.39</v>
      </c>
    </row>
    <row r="325" spans="1:9" ht="16">
      <c r="A325" t="s">
        <v>40</v>
      </c>
      <c r="B325" t="s">
        <v>39</v>
      </c>
      <c r="C325">
        <v>40.4</v>
      </c>
      <c r="D325">
        <v>215840</v>
      </c>
      <c r="E325">
        <v>225149</v>
      </c>
      <c r="F325">
        <v>440989</v>
      </c>
      <c r="G325">
        <v>7233</v>
      </c>
      <c r="H325">
        <v>260789</v>
      </c>
      <c r="I325">
        <v>2.5</v>
      </c>
    </row>
    <row r="326" spans="1:9" ht="16">
      <c r="A326" t="s">
        <v>441</v>
      </c>
      <c r="B326" t="s">
        <v>39</v>
      </c>
      <c r="C326">
        <v>42.5</v>
      </c>
      <c r="D326">
        <v>48090</v>
      </c>
      <c r="E326">
        <v>44221</v>
      </c>
      <c r="F326">
        <v>92311</v>
      </c>
      <c r="G326">
        <v>2265</v>
      </c>
      <c r="H326">
        <v>49908</v>
      </c>
      <c r="I326">
        <v>2.1</v>
      </c>
    </row>
    <row r="327" spans="1:9" ht="16">
      <c r="A327" t="s">
        <v>442</v>
      </c>
      <c r="B327" t="s">
        <v>39</v>
      </c>
      <c r="C327">
        <v>34.9</v>
      </c>
      <c r="D327">
        <v>50719</v>
      </c>
      <c r="E327">
        <v>62480</v>
      </c>
      <c r="F327">
        <v>113199</v>
      </c>
      <c r="G327">
        <v>2327</v>
      </c>
      <c r="H327">
        <v>33394</v>
      </c>
      <c r="I327">
        <v>3.75</v>
      </c>
    </row>
    <row r="328" spans="1:9" ht="16">
      <c r="A328" t="s">
        <v>443</v>
      </c>
      <c r="B328" t="s">
        <v>32</v>
      </c>
      <c r="C328">
        <v>32.1</v>
      </c>
      <c r="D328">
        <v>66595</v>
      </c>
      <c r="E328">
        <v>66355</v>
      </c>
      <c r="F328">
        <v>132950</v>
      </c>
      <c r="G328">
        <v>5753</v>
      </c>
      <c r="H328">
        <v>17061</v>
      </c>
      <c r="I328">
        <v>2.78</v>
      </c>
    </row>
    <row r="329" spans="1:9" ht="16">
      <c r="A329" t="s">
        <v>444</v>
      </c>
      <c r="B329" t="s">
        <v>30</v>
      </c>
      <c r="C329">
        <v>36.799999999999997</v>
      </c>
      <c r="D329">
        <v>40098</v>
      </c>
      <c r="E329">
        <v>37519</v>
      </c>
      <c r="F329">
        <v>77617</v>
      </c>
      <c r="G329">
        <v>1608</v>
      </c>
      <c r="H329">
        <v>39436</v>
      </c>
      <c r="I329">
        <v>3.32</v>
      </c>
    </row>
    <row r="330" spans="1:9" ht="16">
      <c r="A330" t="s">
        <v>114</v>
      </c>
      <c r="B330" t="s">
        <v>109</v>
      </c>
      <c r="C330">
        <v>31.6</v>
      </c>
      <c r="D330">
        <v>286315</v>
      </c>
      <c r="E330">
        <v>313839</v>
      </c>
      <c r="F330">
        <v>600154</v>
      </c>
      <c r="G330">
        <v>20615</v>
      </c>
      <c r="H330">
        <v>58321</v>
      </c>
      <c r="I330">
        <v>2.5099999999999998</v>
      </c>
    </row>
    <row r="331" spans="1:9" ht="16">
      <c r="A331" t="s">
        <v>116</v>
      </c>
      <c r="B331" t="s">
        <v>115</v>
      </c>
      <c r="C331">
        <v>32.4</v>
      </c>
      <c r="D331">
        <v>206547</v>
      </c>
      <c r="E331">
        <v>204388</v>
      </c>
      <c r="F331">
        <v>410935</v>
      </c>
      <c r="G331">
        <v>15217</v>
      </c>
      <c r="H331">
        <v>70769</v>
      </c>
      <c r="I331">
        <v>2.2599999999999998</v>
      </c>
    </row>
    <row r="332" spans="1:9" ht="16">
      <c r="A332" t="s">
        <v>445</v>
      </c>
      <c r="B332" t="s">
        <v>39</v>
      </c>
      <c r="C332">
        <v>36.6</v>
      </c>
      <c r="D332">
        <v>66157</v>
      </c>
      <c r="E332">
        <v>70958</v>
      </c>
      <c r="F332">
        <v>137115</v>
      </c>
      <c r="G332">
        <v>3077</v>
      </c>
      <c r="H332">
        <v>57179</v>
      </c>
      <c r="I332">
        <v>3.41</v>
      </c>
    </row>
    <row r="333" spans="1:9" ht="16">
      <c r="A333" t="s">
        <v>446</v>
      </c>
      <c r="B333" t="s">
        <v>32</v>
      </c>
      <c r="C333">
        <v>32.9</v>
      </c>
      <c r="D333">
        <v>40530</v>
      </c>
      <c r="E333">
        <v>42777</v>
      </c>
      <c r="F333">
        <v>83307</v>
      </c>
      <c r="G333">
        <v>2383</v>
      </c>
      <c r="H333">
        <v>22608</v>
      </c>
      <c r="I333">
        <v>3.51</v>
      </c>
    </row>
    <row r="334" spans="1:9" ht="16">
      <c r="A334" t="s">
        <v>447</v>
      </c>
      <c r="B334" t="s">
        <v>30</v>
      </c>
      <c r="C334">
        <v>44.9</v>
      </c>
      <c r="D334">
        <v>48849</v>
      </c>
      <c r="E334">
        <v>48314</v>
      </c>
      <c r="F334">
        <v>97163</v>
      </c>
      <c r="G334">
        <v>4713</v>
      </c>
      <c r="H334">
        <v>17308</v>
      </c>
      <c r="I334">
        <v>2.85</v>
      </c>
    </row>
    <row r="335" spans="1:9" ht="16">
      <c r="A335" t="s">
        <v>448</v>
      </c>
      <c r="B335" t="s">
        <v>215</v>
      </c>
      <c r="C335">
        <v>34.700000000000003</v>
      </c>
      <c r="D335">
        <v>35002</v>
      </c>
      <c r="E335">
        <v>36022</v>
      </c>
      <c r="F335">
        <v>71024</v>
      </c>
      <c r="G335">
        <v>4733</v>
      </c>
      <c r="H335">
        <v>2771</v>
      </c>
      <c r="I335">
        <v>2.15</v>
      </c>
    </row>
    <row r="336" spans="1:9" ht="16">
      <c r="A336" t="s">
        <v>449</v>
      </c>
      <c r="B336" t="s">
        <v>32</v>
      </c>
      <c r="C336">
        <v>37.200000000000003</v>
      </c>
      <c r="D336">
        <v>34932</v>
      </c>
      <c r="E336">
        <v>36846</v>
      </c>
      <c r="F336">
        <v>71778</v>
      </c>
      <c r="G336">
        <v>4274</v>
      </c>
      <c r="H336">
        <v>18556</v>
      </c>
      <c r="I336">
        <v>3.03</v>
      </c>
    </row>
    <row r="337" spans="1:9" ht="16">
      <c r="A337" t="s">
        <v>450</v>
      </c>
      <c r="B337" t="s">
        <v>117</v>
      </c>
      <c r="C337">
        <v>38</v>
      </c>
      <c r="D337">
        <v>91275</v>
      </c>
      <c r="E337">
        <v>103030</v>
      </c>
      <c r="F337">
        <v>194305</v>
      </c>
      <c r="G337">
        <v>11939</v>
      </c>
      <c r="H337">
        <v>7234</v>
      </c>
      <c r="I337">
        <v>2.4</v>
      </c>
    </row>
    <row r="338" spans="1:9" ht="16">
      <c r="A338" t="s">
        <v>451</v>
      </c>
      <c r="B338" t="s">
        <v>30</v>
      </c>
      <c r="C338">
        <v>35.200000000000003</v>
      </c>
      <c r="D338">
        <v>104852</v>
      </c>
      <c r="E338">
        <v>106405</v>
      </c>
      <c r="F338">
        <v>211257</v>
      </c>
      <c r="G338">
        <v>9855</v>
      </c>
      <c r="H338">
        <v>39613</v>
      </c>
      <c r="I338">
        <v>2.97</v>
      </c>
    </row>
    <row r="339" spans="1:9" ht="16">
      <c r="A339" t="s">
        <v>452</v>
      </c>
      <c r="B339" t="s">
        <v>117</v>
      </c>
      <c r="C339">
        <v>35.4</v>
      </c>
      <c r="D339">
        <v>94582</v>
      </c>
      <c r="E339">
        <v>106004</v>
      </c>
      <c r="F339">
        <v>200586</v>
      </c>
      <c r="G339">
        <v>14955</v>
      </c>
      <c r="H339">
        <v>9337</v>
      </c>
      <c r="I339">
        <v>2.41</v>
      </c>
    </row>
    <row r="340" spans="1:9" ht="16">
      <c r="A340" t="s">
        <v>453</v>
      </c>
      <c r="B340" t="s">
        <v>30</v>
      </c>
      <c r="C340">
        <v>30.7</v>
      </c>
      <c r="D340">
        <v>98584</v>
      </c>
      <c r="E340">
        <v>105597</v>
      </c>
      <c r="F340">
        <v>204181</v>
      </c>
      <c r="G340">
        <v>8529</v>
      </c>
      <c r="H340">
        <v>54442</v>
      </c>
      <c r="I340">
        <v>3.9</v>
      </c>
    </row>
    <row r="341" spans="1:9" ht="16">
      <c r="A341" t="s">
        <v>454</v>
      </c>
      <c r="B341" t="s">
        <v>257</v>
      </c>
      <c r="C341">
        <v>42.7</v>
      </c>
      <c r="D341">
        <v>39429</v>
      </c>
      <c r="E341">
        <v>41880</v>
      </c>
      <c r="F341">
        <v>81309</v>
      </c>
      <c r="G341">
        <v>3981</v>
      </c>
      <c r="H341">
        <v>4701</v>
      </c>
      <c r="I341">
        <v>2.5299999999999998</v>
      </c>
    </row>
    <row r="342" spans="1:9" ht="16">
      <c r="A342" t="s">
        <v>455</v>
      </c>
      <c r="B342" t="s">
        <v>43</v>
      </c>
      <c r="C342">
        <v>38.5</v>
      </c>
      <c r="D342">
        <v>31876</v>
      </c>
      <c r="E342">
        <v>36745</v>
      </c>
      <c r="F342">
        <v>68621</v>
      </c>
      <c r="G342">
        <v>2064</v>
      </c>
      <c r="H342">
        <v>23777</v>
      </c>
      <c r="I342">
        <v>2.85</v>
      </c>
    </row>
    <row r="343" spans="1:9" ht="16">
      <c r="A343" t="s">
        <v>456</v>
      </c>
      <c r="B343" t="s">
        <v>30</v>
      </c>
      <c r="C343">
        <v>33.5</v>
      </c>
      <c r="D343">
        <v>42493</v>
      </c>
      <c r="E343">
        <v>37945</v>
      </c>
      <c r="F343">
        <v>80438</v>
      </c>
      <c r="G343">
        <v>1376</v>
      </c>
      <c r="H343">
        <v>31857</v>
      </c>
      <c r="I343">
        <v>2.46</v>
      </c>
    </row>
    <row r="344" spans="1:9" ht="16">
      <c r="A344" t="s">
        <v>457</v>
      </c>
      <c r="B344" t="s">
        <v>80</v>
      </c>
      <c r="C344">
        <v>27.4</v>
      </c>
      <c r="D344">
        <v>32446</v>
      </c>
      <c r="E344">
        <v>37255</v>
      </c>
      <c r="F344">
        <v>69701</v>
      </c>
      <c r="G344">
        <v>2968</v>
      </c>
      <c r="H344">
        <v>1062</v>
      </c>
      <c r="I344">
        <v>2.35</v>
      </c>
    </row>
    <row r="345" spans="1:9" ht="16">
      <c r="A345" t="s">
        <v>458</v>
      </c>
      <c r="B345" t="s">
        <v>111</v>
      </c>
      <c r="C345">
        <v>30.2</v>
      </c>
      <c r="D345">
        <v>60704</v>
      </c>
      <c r="E345">
        <v>65417</v>
      </c>
      <c r="F345">
        <v>126121</v>
      </c>
      <c r="G345">
        <v>5199</v>
      </c>
      <c r="H345">
        <v>8948</v>
      </c>
      <c r="I345">
        <v>2.6</v>
      </c>
    </row>
    <row r="346" spans="1:9" ht="16">
      <c r="A346" t="s">
        <v>459</v>
      </c>
      <c r="B346" t="s">
        <v>30</v>
      </c>
      <c r="C346">
        <v>35.299999999999997</v>
      </c>
      <c r="D346">
        <v>49363</v>
      </c>
      <c r="E346">
        <v>60453</v>
      </c>
      <c r="F346">
        <v>109816</v>
      </c>
      <c r="G346">
        <v>7242</v>
      </c>
      <c r="H346">
        <v>19875</v>
      </c>
      <c r="I346">
        <v>3.3</v>
      </c>
    </row>
    <row r="347" spans="1:9" ht="16">
      <c r="A347" t="s">
        <v>460</v>
      </c>
      <c r="B347" t="s">
        <v>54</v>
      </c>
      <c r="C347">
        <v>31.4</v>
      </c>
      <c r="D347">
        <v>45651</v>
      </c>
      <c r="E347">
        <v>44199</v>
      </c>
      <c r="F347">
        <v>89850</v>
      </c>
      <c r="G347">
        <v>4736</v>
      </c>
      <c r="H347">
        <v>6607</v>
      </c>
      <c r="I347">
        <v>2.98</v>
      </c>
    </row>
    <row r="348" spans="1:9" ht="16">
      <c r="A348" t="s">
        <v>461</v>
      </c>
      <c r="B348" t="s">
        <v>30</v>
      </c>
      <c r="C348">
        <v>37.200000000000003</v>
      </c>
      <c r="D348">
        <v>39828</v>
      </c>
      <c r="E348">
        <v>40601</v>
      </c>
      <c r="F348">
        <v>80429</v>
      </c>
      <c r="G348">
        <v>4678</v>
      </c>
      <c r="H348">
        <v>18449</v>
      </c>
      <c r="I348">
        <v>2.84</v>
      </c>
    </row>
    <row r="349" spans="1:9" ht="16">
      <c r="A349" t="s">
        <v>462</v>
      </c>
      <c r="B349" t="s">
        <v>63</v>
      </c>
      <c r="C349">
        <v>38.5</v>
      </c>
      <c r="D349">
        <v>71365</v>
      </c>
      <c r="E349">
        <v>75794</v>
      </c>
      <c r="F349">
        <v>147159</v>
      </c>
      <c r="G349">
        <v>4545</v>
      </c>
      <c r="H349">
        <v>30399</v>
      </c>
      <c r="I349">
        <v>2.76</v>
      </c>
    </row>
    <row r="350" spans="1:9" ht="16">
      <c r="A350" t="s">
        <v>463</v>
      </c>
      <c r="B350" t="s">
        <v>427</v>
      </c>
      <c r="C350">
        <v>38.299999999999997</v>
      </c>
      <c r="D350">
        <v>42926</v>
      </c>
      <c r="E350">
        <v>45049</v>
      </c>
      <c r="F350">
        <v>87975</v>
      </c>
      <c r="G350">
        <v>5532</v>
      </c>
      <c r="H350">
        <v>12693</v>
      </c>
      <c r="I350">
        <v>2.46</v>
      </c>
    </row>
    <row r="351" spans="1:9" ht="16">
      <c r="A351" t="s">
        <v>119</v>
      </c>
      <c r="B351" t="s">
        <v>111</v>
      </c>
      <c r="C351">
        <v>34.1</v>
      </c>
      <c r="D351">
        <v>314231</v>
      </c>
      <c r="E351">
        <v>340365</v>
      </c>
      <c r="F351">
        <v>654596</v>
      </c>
      <c r="G351">
        <v>27942</v>
      </c>
      <c r="H351">
        <v>88193</v>
      </c>
      <c r="I351">
        <v>2.39</v>
      </c>
    </row>
    <row r="352" spans="1:9" ht="16">
      <c r="A352" t="s">
        <v>464</v>
      </c>
      <c r="B352" t="s">
        <v>36</v>
      </c>
      <c r="C352">
        <v>38.6</v>
      </c>
      <c r="D352">
        <v>43793</v>
      </c>
      <c r="E352">
        <v>51166</v>
      </c>
      <c r="F352">
        <v>94959</v>
      </c>
      <c r="G352">
        <v>4185</v>
      </c>
      <c r="H352">
        <v>19024</v>
      </c>
      <c r="I352">
        <v>2.39</v>
      </c>
    </row>
    <row r="353" spans="1:9" ht="16">
      <c r="A353" t="s">
        <v>465</v>
      </c>
      <c r="B353" t="s">
        <v>32</v>
      </c>
      <c r="C353">
        <v>37</v>
      </c>
      <c r="D353">
        <v>33071</v>
      </c>
      <c r="E353">
        <v>36852</v>
      </c>
      <c r="F353">
        <v>69923</v>
      </c>
      <c r="G353">
        <v>5204</v>
      </c>
      <c r="H353">
        <v>5405</v>
      </c>
      <c r="I353">
        <v>2.85</v>
      </c>
    </row>
    <row r="354" spans="1:9" ht="16">
      <c r="A354" t="s">
        <v>466</v>
      </c>
      <c r="B354" t="s">
        <v>229</v>
      </c>
      <c r="C354">
        <v>33.4</v>
      </c>
      <c r="D354">
        <v>37350</v>
      </c>
      <c r="E354">
        <v>35459</v>
      </c>
      <c r="F354">
        <v>72809</v>
      </c>
      <c r="G354">
        <v>2219</v>
      </c>
      <c r="H354">
        <v>15080</v>
      </c>
      <c r="I354">
        <v>2.52</v>
      </c>
    </row>
    <row r="355" spans="1:9" ht="16">
      <c r="A355" t="s">
        <v>467</v>
      </c>
      <c r="B355" t="s">
        <v>229</v>
      </c>
      <c r="C355">
        <v>29.9</v>
      </c>
      <c r="D355">
        <v>63765</v>
      </c>
      <c r="E355">
        <v>66545</v>
      </c>
      <c r="F355">
        <v>130310</v>
      </c>
      <c r="G355">
        <v>2567</v>
      </c>
      <c r="H355">
        <v>25871</v>
      </c>
      <c r="I355">
        <v>2.48</v>
      </c>
    </row>
    <row r="356" spans="1:9" ht="16">
      <c r="A356" t="s">
        <v>120</v>
      </c>
      <c r="B356" t="s">
        <v>52</v>
      </c>
      <c r="C356">
        <v>35.9</v>
      </c>
      <c r="D356">
        <v>185736</v>
      </c>
      <c r="E356">
        <v>203881</v>
      </c>
      <c r="F356">
        <v>389617</v>
      </c>
      <c r="G356">
        <v>17388</v>
      </c>
      <c r="H356">
        <v>21679</v>
      </c>
      <c r="I356">
        <v>2.41</v>
      </c>
    </row>
    <row r="357" spans="1:9" ht="16">
      <c r="A357" t="s">
        <v>468</v>
      </c>
      <c r="B357" t="s">
        <v>43</v>
      </c>
      <c r="C357">
        <v>40.6</v>
      </c>
      <c r="D357">
        <v>38871</v>
      </c>
      <c r="E357">
        <v>40967</v>
      </c>
      <c r="F357">
        <v>79838</v>
      </c>
      <c r="G357">
        <v>2780</v>
      </c>
      <c r="H357">
        <v>26960</v>
      </c>
      <c r="I357">
        <v>2.85</v>
      </c>
    </row>
    <row r="358" spans="1:9" ht="16">
      <c r="A358" t="s">
        <v>43</v>
      </c>
      <c r="B358" t="s">
        <v>43</v>
      </c>
      <c r="C358">
        <v>36</v>
      </c>
      <c r="D358">
        <v>4081698</v>
      </c>
      <c r="E358">
        <v>4468707</v>
      </c>
      <c r="F358">
        <v>8550405</v>
      </c>
      <c r="G358">
        <v>156961</v>
      </c>
      <c r="H358">
        <v>3212500</v>
      </c>
      <c r="I358">
        <v>2.68</v>
      </c>
    </row>
    <row r="359" spans="1:9" ht="16">
      <c r="A359" t="s">
        <v>121</v>
      </c>
      <c r="B359" t="s">
        <v>99</v>
      </c>
      <c r="C359">
        <v>34.6</v>
      </c>
      <c r="D359">
        <v>138040</v>
      </c>
      <c r="E359">
        <v>143873</v>
      </c>
      <c r="F359">
        <v>281913</v>
      </c>
      <c r="G359">
        <v>5829</v>
      </c>
      <c r="H359">
        <v>86253</v>
      </c>
      <c r="I359">
        <v>2.73</v>
      </c>
    </row>
    <row r="360" spans="1:9" ht="16">
      <c r="A360" t="s">
        <v>469</v>
      </c>
      <c r="B360" t="s">
        <v>30</v>
      </c>
      <c r="C360">
        <v>46.8</v>
      </c>
      <c r="D360">
        <v>43161</v>
      </c>
      <c r="E360">
        <v>43970</v>
      </c>
      <c r="F360">
        <v>87131</v>
      </c>
      <c r="G360">
        <v>4847</v>
      </c>
      <c r="H360">
        <v>15318</v>
      </c>
      <c r="I360">
        <v>2.4</v>
      </c>
    </row>
    <row r="361" spans="1:9" ht="16">
      <c r="A361" t="s">
        <v>470</v>
      </c>
      <c r="B361" t="s">
        <v>61</v>
      </c>
      <c r="C361">
        <v>32.799999999999997</v>
      </c>
      <c r="D361">
        <v>88385</v>
      </c>
      <c r="E361">
        <v>94000</v>
      </c>
      <c r="F361">
        <v>182385</v>
      </c>
      <c r="G361">
        <v>18896</v>
      </c>
      <c r="H361">
        <v>12589</v>
      </c>
      <c r="I361">
        <v>2.46</v>
      </c>
    </row>
    <row r="362" spans="1:9" ht="16">
      <c r="A362" t="s">
        <v>471</v>
      </c>
      <c r="B362" t="s">
        <v>36</v>
      </c>
      <c r="C362">
        <v>42.3</v>
      </c>
      <c r="D362">
        <v>41985</v>
      </c>
      <c r="E362">
        <v>46824</v>
      </c>
      <c r="F362">
        <v>88809</v>
      </c>
      <c r="G362">
        <v>1814</v>
      </c>
      <c r="H362">
        <v>21692</v>
      </c>
      <c r="I362">
        <v>2.71</v>
      </c>
    </row>
    <row r="363" spans="1:9" ht="16">
      <c r="A363" t="s">
        <v>122</v>
      </c>
      <c r="B363" t="s">
        <v>61</v>
      </c>
      <c r="C363">
        <v>30.2</v>
      </c>
      <c r="D363">
        <v>128917</v>
      </c>
      <c r="E363">
        <v>117476</v>
      </c>
      <c r="F363">
        <v>246393</v>
      </c>
      <c r="G363">
        <v>29445</v>
      </c>
      <c r="H363">
        <v>16702</v>
      </c>
      <c r="I363">
        <v>2.5099999999999998</v>
      </c>
    </row>
    <row r="364" spans="1:9" ht="16">
      <c r="A364" t="s">
        <v>472</v>
      </c>
      <c r="B364" t="s">
        <v>125</v>
      </c>
      <c r="C364">
        <v>30.9</v>
      </c>
      <c r="D364">
        <v>59483</v>
      </c>
      <c r="E364">
        <v>60814</v>
      </c>
      <c r="F364">
        <v>120297</v>
      </c>
      <c r="G364">
        <v>5578</v>
      </c>
      <c r="H364">
        <v>8705</v>
      </c>
      <c r="I364">
        <v>2.4700000000000002</v>
      </c>
    </row>
    <row r="365" spans="1:9" ht="16">
      <c r="A365" t="s">
        <v>473</v>
      </c>
      <c r="B365" t="s">
        <v>257</v>
      </c>
      <c r="C365">
        <v>30.7</v>
      </c>
      <c r="D365">
        <v>56549</v>
      </c>
      <c r="E365">
        <v>55315</v>
      </c>
      <c r="F365">
        <v>111864</v>
      </c>
      <c r="G365">
        <v>9651</v>
      </c>
      <c r="H365">
        <v>8789</v>
      </c>
      <c r="I365">
        <v>2.82</v>
      </c>
    </row>
    <row r="366" spans="1:9" ht="16">
      <c r="A366" t="s">
        <v>123</v>
      </c>
      <c r="B366" t="s">
        <v>89</v>
      </c>
      <c r="C366">
        <v>32.200000000000003</v>
      </c>
      <c r="D366">
        <v>116350</v>
      </c>
      <c r="E366">
        <v>118443</v>
      </c>
      <c r="F366">
        <v>234793</v>
      </c>
      <c r="G366">
        <v>17256</v>
      </c>
      <c r="H366">
        <v>49815</v>
      </c>
      <c r="I366">
        <v>3.31</v>
      </c>
    </row>
    <row r="367" spans="1:9" ht="16">
      <c r="A367" t="s">
        <v>474</v>
      </c>
      <c r="B367" t="s">
        <v>320</v>
      </c>
      <c r="C367">
        <v>33.6</v>
      </c>
      <c r="D367">
        <v>31671</v>
      </c>
      <c r="E367">
        <v>34835</v>
      </c>
      <c r="F367">
        <v>66506</v>
      </c>
      <c r="G367">
        <v>4130</v>
      </c>
      <c r="H367">
        <v>2787</v>
      </c>
      <c r="I367">
        <v>2.62</v>
      </c>
    </row>
    <row r="368" spans="1:9" ht="16">
      <c r="A368" t="s">
        <v>475</v>
      </c>
      <c r="B368" t="s">
        <v>32</v>
      </c>
      <c r="C368">
        <v>39.9</v>
      </c>
      <c r="D368">
        <v>35257</v>
      </c>
      <c r="E368">
        <v>33948</v>
      </c>
      <c r="F368">
        <v>69205</v>
      </c>
      <c r="G368">
        <v>5175</v>
      </c>
      <c r="H368">
        <v>7854</v>
      </c>
      <c r="I368">
        <v>2.64</v>
      </c>
    </row>
    <row r="369" spans="1:9" ht="16">
      <c r="A369" t="s">
        <v>476</v>
      </c>
      <c r="B369" t="s">
        <v>30</v>
      </c>
      <c r="C369">
        <v>35</v>
      </c>
      <c r="D369">
        <v>53125</v>
      </c>
      <c r="E369">
        <v>54020</v>
      </c>
      <c r="F369">
        <v>107145</v>
      </c>
      <c r="G369">
        <v>3027</v>
      </c>
      <c r="H369">
        <v>39396</v>
      </c>
      <c r="I369">
        <v>3.88</v>
      </c>
    </row>
    <row r="370" spans="1:9" ht="16">
      <c r="A370" t="s">
        <v>476</v>
      </c>
      <c r="B370" t="s">
        <v>229</v>
      </c>
      <c r="C370">
        <v>42.4</v>
      </c>
      <c r="D370">
        <v>40880</v>
      </c>
      <c r="E370">
        <v>47603</v>
      </c>
      <c r="F370">
        <v>88483</v>
      </c>
      <c r="G370">
        <v>2877</v>
      </c>
      <c r="H370">
        <v>22328</v>
      </c>
      <c r="I370">
        <v>2.7</v>
      </c>
    </row>
    <row r="371" spans="1:9" ht="16">
      <c r="A371" t="s">
        <v>124</v>
      </c>
      <c r="B371" t="s">
        <v>30</v>
      </c>
      <c r="C371">
        <v>35.700000000000003</v>
      </c>
      <c r="D371">
        <v>203827</v>
      </c>
      <c r="E371">
        <v>215451</v>
      </c>
      <c r="F371">
        <v>419278</v>
      </c>
      <c r="G371">
        <v>12159</v>
      </c>
      <c r="H371">
        <v>113896</v>
      </c>
      <c r="I371">
        <v>2.56</v>
      </c>
    </row>
    <row r="372" spans="1:9" ht="16">
      <c r="A372" t="s">
        <v>477</v>
      </c>
      <c r="B372" t="s">
        <v>30</v>
      </c>
      <c r="C372">
        <v>39.4</v>
      </c>
      <c r="D372">
        <v>87482</v>
      </c>
      <c r="E372">
        <v>88232</v>
      </c>
      <c r="F372">
        <v>175714</v>
      </c>
      <c r="G372">
        <v>18051</v>
      </c>
      <c r="H372">
        <v>37492</v>
      </c>
      <c r="I372">
        <v>2.72</v>
      </c>
    </row>
    <row r="373" spans="1:9" ht="16">
      <c r="A373" t="s">
        <v>478</v>
      </c>
      <c r="B373" t="s">
        <v>32</v>
      </c>
      <c r="C373">
        <v>31.2</v>
      </c>
      <c r="D373">
        <v>61119</v>
      </c>
      <c r="E373">
        <v>57861</v>
      </c>
      <c r="F373">
        <v>118980</v>
      </c>
      <c r="G373">
        <v>5509</v>
      </c>
      <c r="H373">
        <v>15845</v>
      </c>
      <c r="I373">
        <v>2.92</v>
      </c>
    </row>
    <row r="374" spans="1:9" ht="16">
      <c r="A374" t="s">
        <v>479</v>
      </c>
      <c r="B374" t="s">
        <v>101</v>
      </c>
      <c r="C374">
        <v>36</v>
      </c>
      <c r="D374">
        <v>41762</v>
      </c>
      <c r="E374">
        <v>43270</v>
      </c>
      <c r="F374">
        <v>85032</v>
      </c>
      <c r="G374">
        <v>5783</v>
      </c>
      <c r="H374">
        <v>3269</v>
      </c>
      <c r="I374">
        <v>2.77</v>
      </c>
    </row>
    <row r="375" spans="1:9" ht="16">
      <c r="A375" t="s">
        <v>480</v>
      </c>
      <c r="B375" t="s">
        <v>405</v>
      </c>
      <c r="C375">
        <v>31.3</v>
      </c>
      <c r="D375">
        <v>44323</v>
      </c>
      <c r="E375">
        <v>41127</v>
      </c>
      <c r="F375">
        <v>85450</v>
      </c>
      <c r="G375">
        <v>5080</v>
      </c>
      <c r="H375">
        <v>12791</v>
      </c>
      <c r="I375">
        <v>2.68</v>
      </c>
    </row>
    <row r="376" spans="1:9" ht="16">
      <c r="A376" t="s">
        <v>126</v>
      </c>
      <c r="B376" t="s">
        <v>125</v>
      </c>
      <c r="C376">
        <v>34.1</v>
      </c>
      <c r="D376">
        <v>309227</v>
      </c>
      <c r="E376">
        <v>322036</v>
      </c>
      <c r="F376">
        <v>631263</v>
      </c>
      <c r="G376">
        <v>41843</v>
      </c>
      <c r="H376">
        <v>80165</v>
      </c>
      <c r="I376">
        <v>2.58</v>
      </c>
    </row>
    <row r="377" spans="1:9" ht="16">
      <c r="A377" t="s">
        <v>481</v>
      </c>
      <c r="B377" t="s">
        <v>158</v>
      </c>
      <c r="C377">
        <v>33</v>
      </c>
      <c r="D377">
        <v>65046</v>
      </c>
      <c r="E377">
        <v>69270</v>
      </c>
      <c r="F377">
        <v>134316</v>
      </c>
      <c r="G377">
        <v>6042</v>
      </c>
      <c r="H377">
        <v>11913</v>
      </c>
      <c r="I377">
        <v>2.97</v>
      </c>
    </row>
    <row r="378" spans="1:9" ht="16">
      <c r="A378" t="s">
        <v>128</v>
      </c>
      <c r="B378" t="s">
        <v>127</v>
      </c>
      <c r="C378">
        <v>34.200000000000003</v>
      </c>
      <c r="D378">
        <v>218789</v>
      </c>
      <c r="E378">
        <v>225098</v>
      </c>
      <c r="F378">
        <v>443887</v>
      </c>
      <c r="G378">
        <v>24503</v>
      </c>
      <c r="H378">
        <v>48263</v>
      </c>
      <c r="I378">
        <v>2.4700000000000002</v>
      </c>
    </row>
    <row r="379" spans="1:9" ht="16">
      <c r="A379" t="s">
        <v>482</v>
      </c>
      <c r="B379" t="s">
        <v>30</v>
      </c>
      <c r="C379">
        <v>31</v>
      </c>
      <c r="D379">
        <v>85059</v>
      </c>
      <c r="E379">
        <v>86141</v>
      </c>
      <c r="F379">
        <v>171200</v>
      </c>
      <c r="G379">
        <v>4816</v>
      </c>
      <c r="H379">
        <v>48557</v>
      </c>
      <c r="I379">
        <v>3.52</v>
      </c>
    </row>
    <row r="380" spans="1:9" ht="16">
      <c r="A380" t="s">
        <v>483</v>
      </c>
      <c r="B380" t="s">
        <v>30</v>
      </c>
      <c r="C380">
        <v>35</v>
      </c>
      <c r="D380">
        <v>67337</v>
      </c>
      <c r="E380">
        <v>73658</v>
      </c>
      <c r="F380">
        <v>140995</v>
      </c>
      <c r="G380">
        <v>3993</v>
      </c>
      <c r="H380">
        <v>34550</v>
      </c>
      <c r="I380">
        <v>3.14</v>
      </c>
    </row>
    <row r="381" spans="1:9" ht="16">
      <c r="A381" t="s">
        <v>484</v>
      </c>
      <c r="B381" t="s">
        <v>405</v>
      </c>
      <c r="C381">
        <v>26.1</v>
      </c>
      <c r="D381">
        <v>48695</v>
      </c>
      <c r="E381">
        <v>45762</v>
      </c>
      <c r="F381">
        <v>94457</v>
      </c>
      <c r="G381">
        <v>2828</v>
      </c>
      <c r="H381">
        <v>12808</v>
      </c>
      <c r="I381">
        <v>3.26</v>
      </c>
    </row>
    <row r="382" spans="1:9" ht="16">
      <c r="A382" t="s">
        <v>129</v>
      </c>
      <c r="B382" t="s">
        <v>39</v>
      </c>
      <c r="C382">
        <v>33.1</v>
      </c>
      <c r="D382">
        <v>130940</v>
      </c>
      <c r="E382">
        <v>139977</v>
      </c>
      <c r="F382">
        <v>270917</v>
      </c>
      <c r="G382">
        <v>12782</v>
      </c>
      <c r="H382">
        <v>50558</v>
      </c>
      <c r="I382">
        <v>2.42</v>
      </c>
    </row>
    <row r="383" spans="1:9" ht="16">
      <c r="A383" t="s">
        <v>485</v>
      </c>
      <c r="B383" t="s">
        <v>109</v>
      </c>
      <c r="C383">
        <v>33</v>
      </c>
      <c r="D383">
        <v>32905</v>
      </c>
      <c r="E383">
        <v>33652</v>
      </c>
      <c r="F383">
        <v>66557</v>
      </c>
      <c r="G383">
        <v>3809</v>
      </c>
      <c r="H383">
        <v>2348</v>
      </c>
      <c r="I383">
        <v>2.2999999999999998</v>
      </c>
    </row>
    <row r="384" spans="1:9" ht="16">
      <c r="A384" t="s">
        <v>486</v>
      </c>
      <c r="B384" t="s">
        <v>158</v>
      </c>
      <c r="C384">
        <v>38.200000000000003</v>
      </c>
      <c r="D384">
        <v>93355</v>
      </c>
      <c r="E384">
        <v>93156</v>
      </c>
      <c r="F384">
        <v>186511</v>
      </c>
      <c r="G384">
        <v>10461</v>
      </c>
      <c r="H384">
        <v>21407</v>
      </c>
      <c r="I384">
        <v>2.41</v>
      </c>
    </row>
    <row r="385" spans="1:9" ht="16">
      <c r="A385" t="s">
        <v>487</v>
      </c>
      <c r="B385" t="s">
        <v>30</v>
      </c>
      <c r="C385">
        <v>31</v>
      </c>
      <c r="D385">
        <v>101906</v>
      </c>
      <c r="E385">
        <v>105346</v>
      </c>
      <c r="F385">
        <v>207252</v>
      </c>
      <c r="G385">
        <v>6367</v>
      </c>
      <c r="H385">
        <v>78678</v>
      </c>
      <c r="I385">
        <v>4.08</v>
      </c>
    </row>
    <row r="386" spans="1:9" ht="16">
      <c r="A386" t="s">
        <v>488</v>
      </c>
      <c r="B386" t="s">
        <v>63</v>
      </c>
      <c r="C386">
        <v>38</v>
      </c>
      <c r="D386">
        <v>36506</v>
      </c>
      <c r="E386">
        <v>32763</v>
      </c>
      <c r="F386">
        <v>69269</v>
      </c>
      <c r="G386">
        <v>2629</v>
      </c>
      <c r="H386">
        <v>21760</v>
      </c>
      <c r="I386">
        <v>2.69</v>
      </c>
    </row>
    <row r="387" spans="1:9" ht="16">
      <c r="A387" t="s">
        <v>489</v>
      </c>
      <c r="B387" t="s">
        <v>39</v>
      </c>
      <c r="C387">
        <v>40.700000000000003</v>
      </c>
      <c r="D387">
        <v>51767</v>
      </c>
      <c r="E387">
        <v>56128</v>
      </c>
      <c r="F387">
        <v>107895</v>
      </c>
      <c r="G387">
        <v>10942</v>
      </c>
      <c r="H387">
        <v>12070</v>
      </c>
      <c r="I387">
        <v>2.82</v>
      </c>
    </row>
    <row r="388" spans="1:9" ht="16">
      <c r="A388" t="s">
        <v>490</v>
      </c>
      <c r="B388" t="s">
        <v>39</v>
      </c>
      <c r="C388">
        <v>48.8</v>
      </c>
      <c r="D388">
        <v>39489</v>
      </c>
      <c r="E388">
        <v>42632</v>
      </c>
      <c r="F388">
        <v>82121</v>
      </c>
      <c r="G388">
        <v>7950</v>
      </c>
      <c r="H388">
        <v>9084</v>
      </c>
      <c r="I388">
        <v>2.76</v>
      </c>
    </row>
    <row r="389" spans="1:9" ht="16">
      <c r="A389" t="s">
        <v>491</v>
      </c>
      <c r="B389" t="s">
        <v>30</v>
      </c>
      <c r="C389">
        <v>32.6</v>
      </c>
      <c r="D389">
        <v>76361</v>
      </c>
      <c r="E389">
        <v>81989</v>
      </c>
      <c r="F389">
        <v>158350</v>
      </c>
      <c r="G389">
        <v>6388</v>
      </c>
      <c r="H389">
        <v>41974</v>
      </c>
      <c r="I389">
        <v>3.54</v>
      </c>
    </row>
    <row r="390" spans="1:9" ht="16">
      <c r="A390" t="s">
        <v>492</v>
      </c>
      <c r="B390" t="s">
        <v>30</v>
      </c>
      <c r="C390">
        <v>40.200000000000003</v>
      </c>
      <c r="D390">
        <v>31451</v>
      </c>
      <c r="E390">
        <v>35397</v>
      </c>
      <c r="F390">
        <v>66848</v>
      </c>
      <c r="G390">
        <v>2025</v>
      </c>
      <c r="H390">
        <v>23348</v>
      </c>
      <c r="I390">
        <v>2.5499999999999998</v>
      </c>
    </row>
    <row r="391" spans="1:9" ht="16">
      <c r="A391" t="s">
        <v>493</v>
      </c>
      <c r="B391" t="s">
        <v>89</v>
      </c>
      <c r="C391">
        <v>37.200000000000003</v>
      </c>
      <c r="D391">
        <v>122784</v>
      </c>
      <c r="E391">
        <v>114162</v>
      </c>
      <c r="F391">
        <v>236946</v>
      </c>
      <c r="G391">
        <v>14112</v>
      </c>
      <c r="H391">
        <v>66712</v>
      </c>
      <c r="I391">
        <v>2.65</v>
      </c>
    </row>
    <row r="392" spans="1:9" ht="16">
      <c r="A392" t="s">
        <v>494</v>
      </c>
      <c r="B392" t="s">
        <v>66</v>
      </c>
      <c r="C392">
        <v>40.799999999999997</v>
      </c>
      <c r="D392">
        <v>38425</v>
      </c>
      <c r="E392">
        <v>41518</v>
      </c>
      <c r="F392">
        <v>79943</v>
      </c>
      <c r="G392">
        <v>5028</v>
      </c>
      <c r="H392">
        <v>6909</v>
      </c>
      <c r="I392">
        <v>2.42</v>
      </c>
    </row>
    <row r="393" spans="1:9" ht="16">
      <c r="A393" t="s">
        <v>495</v>
      </c>
      <c r="B393" t="s">
        <v>30</v>
      </c>
      <c r="C393">
        <v>37.6</v>
      </c>
      <c r="D393">
        <v>67712</v>
      </c>
      <c r="E393">
        <v>74534</v>
      </c>
      <c r="F393">
        <v>142246</v>
      </c>
      <c r="G393">
        <v>4618</v>
      </c>
      <c r="H393">
        <v>40779</v>
      </c>
      <c r="I393">
        <v>2.63</v>
      </c>
    </row>
    <row r="394" spans="1:9" ht="16">
      <c r="A394" t="s">
        <v>495</v>
      </c>
      <c r="B394" t="s">
        <v>32</v>
      </c>
      <c r="C394">
        <v>31.5</v>
      </c>
      <c r="D394">
        <v>78827</v>
      </c>
      <c r="E394">
        <v>74959</v>
      </c>
      <c r="F394">
        <v>153786</v>
      </c>
      <c r="G394">
        <v>5735</v>
      </c>
      <c r="H394">
        <v>38072</v>
      </c>
      <c r="I394">
        <v>2.95</v>
      </c>
    </row>
    <row r="395" spans="1:9" ht="16">
      <c r="A395" t="s">
        <v>496</v>
      </c>
      <c r="B395" t="s">
        <v>146</v>
      </c>
      <c r="C395">
        <v>28.6</v>
      </c>
      <c r="D395">
        <v>35298</v>
      </c>
      <c r="E395">
        <v>32799</v>
      </c>
      <c r="F395">
        <v>68097</v>
      </c>
      <c r="G395">
        <v>2052</v>
      </c>
      <c r="H395">
        <v>16265</v>
      </c>
      <c r="I395">
        <v>3.45</v>
      </c>
    </row>
    <row r="396" spans="1:9" ht="16">
      <c r="A396" t="s">
        <v>497</v>
      </c>
      <c r="B396" t="s">
        <v>99</v>
      </c>
      <c r="C396">
        <v>30.4</v>
      </c>
      <c r="D396">
        <v>36505</v>
      </c>
      <c r="E396">
        <v>34577</v>
      </c>
      <c r="F396">
        <v>71082</v>
      </c>
      <c r="G396">
        <v>693</v>
      </c>
      <c r="H396">
        <v>24174</v>
      </c>
      <c r="I396">
        <v>3.56</v>
      </c>
    </row>
    <row r="397" spans="1:9" ht="16">
      <c r="A397" t="s">
        <v>498</v>
      </c>
      <c r="B397" t="s">
        <v>99</v>
      </c>
      <c r="C397">
        <v>34</v>
      </c>
      <c r="D397">
        <v>70640</v>
      </c>
      <c r="E397">
        <v>77117</v>
      </c>
      <c r="F397">
        <v>147757</v>
      </c>
      <c r="G397">
        <v>1694</v>
      </c>
      <c r="H397">
        <v>49810</v>
      </c>
      <c r="I397">
        <v>3.37</v>
      </c>
    </row>
    <row r="398" spans="1:9" ht="16">
      <c r="A398" t="s">
        <v>499</v>
      </c>
      <c r="B398" t="s">
        <v>279</v>
      </c>
      <c r="C398">
        <v>39.200000000000003</v>
      </c>
      <c r="D398">
        <v>36072</v>
      </c>
      <c r="E398">
        <v>35511</v>
      </c>
      <c r="F398">
        <v>71583</v>
      </c>
      <c r="G398">
        <v>3173</v>
      </c>
      <c r="H398">
        <v>17884</v>
      </c>
      <c r="I398">
        <v>2.41</v>
      </c>
    </row>
    <row r="399" spans="1:9" ht="16">
      <c r="A399" t="s">
        <v>500</v>
      </c>
      <c r="B399" t="s">
        <v>32</v>
      </c>
      <c r="C399">
        <v>33.9</v>
      </c>
      <c r="D399">
        <v>52336</v>
      </c>
      <c r="E399">
        <v>59329</v>
      </c>
      <c r="F399">
        <v>111665</v>
      </c>
      <c r="G399">
        <v>5621</v>
      </c>
      <c r="H399">
        <v>16882</v>
      </c>
      <c r="I399">
        <v>3</v>
      </c>
    </row>
    <row r="400" spans="1:9" ht="16">
      <c r="A400" t="s">
        <v>501</v>
      </c>
      <c r="B400" t="s">
        <v>39</v>
      </c>
      <c r="C400">
        <v>40.299999999999997</v>
      </c>
      <c r="D400">
        <v>77050</v>
      </c>
      <c r="E400">
        <v>89574</v>
      </c>
      <c r="F400">
        <v>166624</v>
      </c>
      <c r="G400">
        <v>6849</v>
      </c>
      <c r="H400">
        <v>62210</v>
      </c>
      <c r="I400">
        <v>2.94</v>
      </c>
    </row>
    <row r="401" spans="1:9" ht="16">
      <c r="A401" t="s">
        <v>502</v>
      </c>
      <c r="B401" t="s">
        <v>63</v>
      </c>
      <c r="C401">
        <v>33.1</v>
      </c>
      <c r="D401">
        <v>56229</v>
      </c>
      <c r="E401">
        <v>62432</v>
      </c>
      <c r="F401">
        <v>118661</v>
      </c>
      <c r="G401">
        <v>6634</v>
      </c>
      <c r="H401">
        <v>7517</v>
      </c>
      <c r="I401">
        <v>2.4</v>
      </c>
    </row>
    <row r="402" spans="1:9" ht="16">
      <c r="A402" t="s">
        <v>502</v>
      </c>
      <c r="B402" t="s">
        <v>57</v>
      </c>
      <c r="C402">
        <v>36.9</v>
      </c>
      <c r="D402">
        <v>80139</v>
      </c>
      <c r="E402">
        <v>91103</v>
      </c>
      <c r="F402">
        <v>171242</v>
      </c>
      <c r="G402">
        <v>13019</v>
      </c>
      <c r="H402">
        <v>14260</v>
      </c>
      <c r="I402">
        <v>2.97</v>
      </c>
    </row>
    <row r="403" spans="1:9" ht="16">
      <c r="A403" t="s">
        <v>503</v>
      </c>
      <c r="B403" t="s">
        <v>30</v>
      </c>
      <c r="C403">
        <v>26.9</v>
      </c>
      <c r="D403">
        <v>41623</v>
      </c>
      <c r="E403">
        <v>33336</v>
      </c>
      <c r="F403">
        <v>74959</v>
      </c>
      <c r="G403">
        <v>1321</v>
      </c>
      <c r="H403">
        <v>23277</v>
      </c>
      <c r="I403">
        <v>4.78</v>
      </c>
    </row>
    <row r="404" spans="1:9" ht="16">
      <c r="A404" t="s">
        <v>504</v>
      </c>
      <c r="B404" t="s">
        <v>32</v>
      </c>
      <c r="C404">
        <v>26.9</v>
      </c>
      <c r="D404">
        <v>35242</v>
      </c>
      <c r="E404">
        <v>41293</v>
      </c>
      <c r="F404">
        <v>76535</v>
      </c>
      <c r="G404">
        <v>1376</v>
      </c>
      <c r="H404">
        <v>25532</v>
      </c>
      <c r="I404">
        <v>3.67</v>
      </c>
    </row>
    <row r="405" spans="1:9" ht="16">
      <c r="A405" t="s">
        <v>130</v>
      </c>
      <c r="B405" t="s">
        <v>44</v>
      </c>
      <c r="C405">
        <v>34.1</v>
      </c>
      <c r="D405">
        <v>741270</v>
      </c>
      <c r="E405">
        <v>826172</v>
      </c>
      <c r="F405">
        <v>1567442</v>
      </c>
      <c r="G405">
        <v>61995</v>
      </c>
      <c r="H405">
        <v>205339</v>
      </c>
      <c r="I405">
        <v>2.61</v>
      </c>
    </row>
    <row r="406" spans="1:9" ht="16">
      <c r="A406" t="s">
        <v>131</v>
      </c>
      <c r="B406" t="s">
        <v>57</v>
      </c>
      <c r="C406">
        <v>33.799999999999997</v>
      </c>
      <c r="D406">
        <v>786833</v>
      </c>
      <c r="E406">
        <v>776168</v>
      </c>
      <c r="F406">
        <v>1563001</v>
      </c>
      <c r="G406">
        <v>72388</v>
      </c>
      <c r="H406">
        <v>300702</v>
      </c>
      <c r="I406">
        <v>2.89</v>
      </c>
    </row>
    <row r="407" spans="1:9" ht="16">
      <c r="A407" t="s">
        <v>505</v>
      </c>
      <c r="B407" t="s">
        <v>39</v>
      </c>
      <c r="C407">
        <v>29.2</v>
      </c>
      <c r="D407">
        <v>35344</v>
      </c>
      <c r="E407">
        <v>40737</v>
      </c>
      <c r="F407">
        <v>76081</v>
      </c>
      <c r="G407">
        <v>2594</v>
      </c>
      <c r="H407">
        <v>20735</v>
      </c>
      <c r="I407">
        <v>3.3</v>
      </c>
    </row>
    <row r="408" spans="1:9" ht="16">
      <c r="A408" t="s">
        <v>177</v>
      </c>
      <c r="B408" t="s">
        <v>30</v>
      </c>
      <c r="C408">
        <v>34.5</v>
      </c>
      <c r="D408">
        <v>33309</v>
      </c>
      <c r="E408">
        <v>36118</v>
      </c>
      <c r="F408">
        <v>69427</v>
      </c>
      <c r="G408">
        <v>2109</v>
      </c>
      <c r="H408">
        <v>21043</v>
      </c>
      <c r="I408">
        <v>3.15</v>
      </c>
    </row>
    <row r="409" spans="1:9" ht="16">
      <c r="A409" t="s">
        <v>45</v>
      </c>
      <c r="B409" t="s">
        <v>44</v>
      </c>
      <c r="C409">
        <v>32.9</v>
      </c>
      <c r="D409">
        <v>149690</v>
      </c>
      <c r="E409">
        <v>154695</v>
      </c>
      <c r="F409">
        <v>304385</v>
      </c>
      <c r="G409">
        <v>17728</v>
      </c>
      <c r="H409">
        <v>28187</v>
      </c>
      <c r="I409">
        <v>2.13</v>
      </c>
    </row>
    <row r="410" spans="1:9" ht="16">
      <c r="A410" t="s">
        <v>132</v>
      </c>
      <c r="B410" t="s">
        <v>32</v>
      </c>
      <c r="C410">
        <v>38.1</v>
      </c>
      <c r="D410">
        <v>138565</v>
      </c>
      <c r="E410">
        <v>145054</v>
      </c>
      <c r="F410">
        <v>283619</v>
      </c>
      <c r="G410">
        <v>11719</v>
      </c>
      <c r="H410">
        <v>74030</v>
      </c>
      <c r="I410">
        <v>2.65</v>
      </c>
    </row>
    <row r="411" spans="1:9" ht="16">
      <c r="A411" t="s">
        <v>506</v>
      </c>
      <c r="B411" t="s">
        <v>39</v>
      </c>
      <c r="C411">
        <v>40.6</v>
      </c>
      <c r="D411">
        <v>42881</v>
      </c>
      <c r="E411">
        <v>49674</v>
      </c>
      <c r="F411">
        <v>92555</v>
      </c>
      <c r="G411">
        <v>4037</v>
      </c>
      <c r="H411">
        <v>27902</v>
      </c>
      <c r="I411">
        <v>2.73</v>
      </c>
    </row>
    <row r="412" spans="1:9" ht="16">
      <c r="A412" t="s">
        <v>507</v>
      </c>
      <c r="B412" t="s">
        <v>30</v>
      </c>
      <c r="C412">
        <v>41.3</v>
      </c>
      <c r="D412">
        <v>36662</v>
      </c>
      <c r="E412">
        <v>42857</v>
      </c>
      <c r="F412">
        <v>79519</v>
      </c>
      <c r="G412">
        <v>2424</v>
      </c>
      <c r="H412">
        <v>23208</v>
      </c>
      <c r="I412">
        <v>2.87</v>
      </c>
    </row>
    <row r="413" spans="1:9" ht="16">
      <c r="A413" t="s">
        <v>508</v>
      </c>
      <c r="B413" t="s">
        <v>115</v>
      </c>
      <c r="C413">
        <v>38.4</v>
      </c>
      <c r="D413">
        <v>39035</v>
      </c>
      <c r="E413">
        <v>36893</v>
      </c>
      <c r="F413">
        <v>75928</v>
      </c>
      <c r="G413">
        <v>4158</v>
      </c>
      <c r="H413">
        <v>8830</v>
      </c>
      <c r="I413">
        <v>2.46</v>
      </c>
    </row>
    <row r="414" spans="1:9" ht="16">
      <c r="A414" t="s">
        <v>509</v>
      </c>
      <c r="B414" t="s">
        <v>39</v>
      </c>
      <c r="C414">
        <v>34.200000000000003</v>
      </c>
      <c r="D414">
        <v>38142</v>
      </c>
      <c r="E414">
        <v>35801</v>
      </c>
      <c r="F414">
        <v>73943</v>
      </c>
      <c r="G414">
        <v>2933</v>
      </c>
      <c r="H414">
        <v>14349</v>
      </c>
      <c r="I414">
        <v>3.93</v>
      </c>
    </row>
    <row r="415" spans="1:9" ht="16">
      <c r="A415" t="s">
        <v>510</v>
      </c>
      <c r="B415" t="s">
        <v>30</v>
      </c>
      <c r="C415">
        <v>32.1</v>
      </c>
      <c r="D415">
        <v>74945</v>
      </c>
      <c r="E415">
        <v>78307</v>
      </c>
      <c r="F415">
        <v>153252</v>
      </c>
      <c r="G415">
        <v>3251</v>
      </c>
      <c r="H415">
        <v>53879</v>
      </c>
      <c r="I415">
        <v>3.63</v>
      </c>
    </row>
    <row r="416" spans="1:9" ht="16">
      <c r="A416" t="s">
        <v>511</v>
      </c>
      <c r="B416" t="s">
        <v>39</v>
      </c>
      <c r="C416">
        <v>42.5</v>
      </c>
      <c r="D416">
        <v>56569</v>
      </c>
      <c r="E416">
        <v>51202</v>
      </c>
      <c r="F416">
        <v>107771</v>
      </c>
      <c r="G416">
        <v>5145</v>
      </c>
      <c r="H416">
        <v>32733</v>
      </c>
      <c r="I416">
        <v>2.5499999999999998</v>
      </c>
    </row>
    <row r="417" spans="1:9" ht="16">
      <c r="A417" t="s">
        <v>512</v>
      </c>
      <c r="B417" t="s">
        <v>204</v>
      </c>
      <c r="C417">
        <v>40.5</v>
      </c>
      <c r="D417">
        <v>56968</v>
      </c>
      <c r="E417">
        <v>64615</v>
      </c>
      <c r="F417">
        <v>121583</v>
      </c>
    </row>
    <row r="418" spans="1:9" ht="16">
      <c r="A418" t="s">
        <v>513</v>
      </c>
      <c r="B418" t="s">
        <v>39</v>
      </c>
      <c r="C418">
        <v>42.1</v>
      </c>
      <c r="D418">
        <v>84069</v>
      </c>
      <c r="E418">
        <v>95341</v>
      </c>
      <c r="F418">
        <v>179410</v>
      </c>
      <c r="G418">
        <v>12416</v>
      </c>
      <c r="H418">
        <v>34003</v>
      </c>
      <c r="I418">
        <v>2.91</v>
      </c>
    </row>
    <row r="419" spans="1:9" ht="16">
      <c r="A419" t="s">
        <v>134</v>
      </c>
      <c r="B419" t="s">
        <v>133</v>
      </c>
      <c r="C419">
        <v>36.700000000000003</v>
      </c>
      <c r="D419">
        <v>313516</v>
      </c>
      <c r="E419">
        <v>318671</v>
      </c>
      <c r="F419">
        <v>632187</v>
      </c>
      <c r="G419">
        <v>29940</v>
      </c>
      <c r="H419">
        <v>86041</v>
      </c>
      <c r="I419">
        <v>2.4300000000000002</v>
      </c>
    </row>
    <row r="420" spans="1:9" ht="16">
      <c r="A420" t="s">
        <v>134</v>
      </c>
      <c r="B420" t="s">
        <v>514</v>
      </c>
      <c r="C420">
        <v>40.299999999999997</v>
      </c>
      <c r="D420">
        <v>31480</v>
      </c>
      <c r="E420">
        <v>35392</v>
      </c>
      <c r="F420">
        <v>66872</v>
      </c>
      <c r="G420">
        <v>3666</v>
      </c>
      <c r="H420">
        <v>9229</v>
      </c>
      <c r="I420">
        <v>2.13</v>
      </c>
    </row>
    <row r="421" spans="1:9" ht="16">
      <c r="A421" t="s">
        <v>515</v>
      </c>
      <c r="B421" t="s">
        <v>61</v>
      </c>
      <c r="C421">
        <v>33.6</v>
      </c>
      <c r="D421">
        <v>45900</v>
      </c>
      <c r="E421">
        <v>50301</v>
      </c>
      <c r="F421">
        <v>96201</v>
      </c>
      <c r="G421">
        <v>10261</v>
      </c>
      <c r="H421">
        <v>1815</v>
      </c>
      <c r="I421">
        <v>2.54</v>
      </c>
    </row>
    <row r="422" spans="1:9" ht="16">
      <c r="A422" t="s">
        <v>516</v>
      </c>
      <c r="B422" t="s">
        <v>279</v>
      </c>
      <c r="C422">
        <v>29.9</v>
      </c>
      <c r="D422">
        <v>89090</v>
      </c>
      <c r="E422">
        <v>90114</v>
      </c>
      <c r="F422">
        <v>179204</v>
      </c>
      <c r="G422">
        <v>4933</v>
      </c>
      <c r="H422">
        <v>53532</v>
      </c>
      <c r="I422">
        <v>2.72</v>
      </c>
    </row>
    <row r="423" spans="1:9" ht="16">
      <c r="A423" t="s">
        <v>517</v>
      </c>
      <c r="B423" t="s">
        <v>405</v>
      </c>
      <c r="C423">
        <v>23.6</v>
      </c>
      <c r="D423">
        <v>56231</v>
      </c>
      <c r="E423">
        <v>59027</v>
      </c>
      <c r="F423">
        <v>115258</v>
      </c>
      <c r="G423">
        <v>2177</v>
      </c>
      <c r="H423">
        <v>10925</v>
      </c>
      <c r="I423">
        <v>3.28</v>
      </c>
    </row>
    <row r="424" spans="1:9" ht="16">
      <c r="A424" t="s">
        <v>518</v>
      </c>
      <c r="B424" t="s">
        <v>41</v>
      </c>
      <c r="C424">
        <v>37.6</v>
      </c>
      <c r="D424">
        <v>55635</v>
      </c>
      <c r="E424">
        <v>53784</v>
      </c>
      <c r="F424">
        <v>109419</v>
      </c>
      <c r="G424">
        <v>7989</v>
      </c>
      <c r="H424">
        <v>3578</v>
      </c>
      <c r="I424">
        <v>2.44</v>
      </c>
    </row>
    <row r="425" spans="1:9" ht="16">
      <c r="A425" t="s">
        <v>519</v>
      </c>
      <c r="B425" t="s">
        <v>36</v>
      </c>
      <c r="C425">
        <v>41</v>
      </c>
      <c r="D425">
        <v>44129</v>
      </c>
      <c r="E425">
        <v>49500</v>
      </c>
      <c r="F425">
        <v>93629</v>
      </c>
      <c r="G425">
        <v>4147</v>
      </c>
      <c r="H425">
        <v>32935</v>
      </c>
      <c r="I425">
        <v>2.39</v>
      </c>
    </row>
    <row r="426" spans="1:9" ht="16">
      <c r="A426" t="s">
        <v>520</v>
      </c>
      <c r="B426" t="s">
        <v>109</v>
      </c>
      <c r="C426">
        <v>33.700000000000003</v>
      </c>
      <c r="D426">
        <v>39314</v>
      </c>
      <c r="E426">
        <v>38423</v>
      </c>
      <c r="F426">
        <v>77737</v>
      </c>
      <c r="G426">
        <v>4650</v>
      </c>
      <c r="H426">
        <v>4403</v>
      </c>
      <c r="I426">
        <v>2.56</v>
      </c>
    </row>
    <row r="427" spans="1:9" ht="16">
      <c r="A427" t="s">
        <v>521</v>
      </c>
      <c r="B427" t="s">
        <v>195</v>
      </c>
      <c r="C427">
        <v>32.799999999999997</v>
      </c>
      <c r="D427">
        <v>219184</v>
      </c>
      <c r="E427">
        <v>232765</v>
      </c>
      <c r="F427">
        <v>451949</v>
      </c>
      <c r="G427">
        <v>16747</v>
      </c>
      <c r="H427">
        <v>65125</v>
      </c>
      <c r="I427">
        <v>2.42</v>
      </c>
    </row>
    <row r="428" spans="1:9" ht="16">
      <c r="A428" t="s">
        <v>522</v>
      </c>
      <c r="B428" t="s">
        <v>30</v>
      </c>
      <c r="C428">
        <v>33.799999999999997</v>
      </c>
      <c r="D428">
        <v>34844</v>
      </c>
      <c r="E428">
        <v>36182</v>
      </c>
      <c r="F428">
        <v>71026</v>
      </c>
      <c r="G428">
        <v>4590</v>
      </c>
      <c r="H428">
        <v>17020</v>
      </c>
      <c r="I428">
        <v>2.86</v>
      </c>
    </row>
    <row r="429" spans="1:9" ht="16">
      <c r="A429" t="s">
        <v>523</v>
      </c>
      <c r="B429" t="s">
        <v>30</v>
      </c>
      <c r="C429">
        <v>34.5</v>
      </c>
      <c r="D429">
        <v>88127</v>
      </c>
      <c r="E429">
        <v>87105</v>
      </c>
      <c r="F429">
        <v>175232</v>
      </c>
      <c r="G429">
        <v>5821</v>
      </c>
      <c r="H429">
        <v>33878</v>
      </c>
      <c r="I429">
        <v>3.18</v>
      </c>
    </row>
    <row r="430" spans="1:9" ht="16">
      <c r="A430" t="s">
        <v>524</v>
      </c>
      <c r="B430" t="s">
        <v>525</v>
      </c>
      <c r="C430">
        <v>39.5</v>
      </c>
      <c r="D430">
        <v>36122</v>
      </c>
      <c r="E430">
        <v>37446</v>
      </c>
      <c r="F430">
        <v>73568</v>
      </c>
      <c r="G430">
        <v>7429</v>
      </c>
      <c r="H430">
        <v>2375</v>
      </c>
      <c r="I430">
        <v>2.31</v>
      </c>
    </row>
    <row r="431" spans="1:9" ht="16">
      <c r="A431" t="s">
        <v>526</v>
      </c>
      <c r="B431" t="s">
        <v>44</v>
      </c>
      <c r="C431">
        <v>29.4</v>
      </c>
      <c r="D431">
        <v>43668</v>
      </c>
      <c r="E431">
        <v>44205</v>
      </c>
      <c r="F431">
        <v>87873</v>
      </c>
      <c r="G431">
        <v>2580</v>
      </c>
      <c r="H431">
        <v>17043</v>
      </c>
      <c r="I431">
        <v>2.95</v>
      </c>
    </row>
    <row r="432" spans="1:9" ht="16">
      <c r="A432" t="s">
        <v>527</v>
      </c>
      <c r="B432" t="s">
        <v>30</v>
      </c>
      <c r="C432">
        <v>38.799999999999997</v>
      </c>
      <c r="D432">
        <v>42530</v>
      </c>
      <c r="E432">
        <v>49049</v>
      </c>
      <c r="F432">
        <v>91579</v>
      </c>
      <c r="G432">
        <v>6926</v>
      </c>
      <c r="H432">
        <v>5181</v>
      </c>
      <c r="I432">
        <v>2.42</v>
      </c>
    </row>
    <row r="433" spans="1:9" ht="16">
      <c r="A433" t="s">
        <v>528</v>
      </c>
      <c r="B433" t="s">
        <v>30</v>
      </c>
      <c r="C433">
        <v>36.200000000000003</v>
      </c>
      <c r="D433">
        <v>33993</v>
      </c>
      <c r="E433">
        <v>37035</v>
      </c>
      <c r="F433">
        <v>71028</v>
      </c>
      <c r="G433">
        <v>3445</v>
      </c>
      <c r="H433">
        <v>8681</v>
      </c>
      <c r="I433">
        <v>2.82</v>
      </c>
    </row>
    <row r="434" spans="1:9" ht="16">
      <c r="A434" t="s">
        <v>529</v>
      </c>
      <c r="B434" t="s">
        <v>30</v>
      </c>
      <c r="C434">
        <v>43</v>
      </c>
      <c r="D434">
        <v>34855</v>
      </c>
      <c r="E434">
        <v>33330</v>
      </c>
      <c r="F434">
        <v>68185</v>
      </c>
      <c r="G434">
        <v>3014</v>
      </c>
      <c r="H434">
        <v>13536</v>
      </c>
      <c r="I434">
        <v>2.34</v>
      </c>
    </row>
    <row r="435" spans="1:9" ht="16">
      <c r="A435" t="s">
        <v>530</v>
      </c>
      <c r="B435" t="s">
        <v>30</v>
      </c>
      <c r="C435">
        <v>37.1</v>
      </c>
      <c r="D435">
        <v>42676</v>
      </c>
      <c r="E435">
        <v>42624</v>
      </c>
      <c r="F435">
        <v>85300</v>
      </c>
      <c r="G435">
        <v>2430</v>
      </c>
      <c r="H435">
        <v>27652</v>
      </c>
      <c r="I435">
        <v>2.64</v>
      </c>
    </row>
    <row r="436" spans="1:9" ht="16">
      <c r="A436" t="s">
        <v>135</v>
      </c>
      <c r="B436" t="s">
        <v>89</v>
      </c>
      <c r="C436">
        <v>35.700000000000003</v>
      </c>
      <c r="D436">
        <v>122292</v>
      </c>
      <c r="E436">
        <v>119151</v>
      </c>
      <c r="F436">
        <v>241443</v>
      </c>
      <c r="G436">
        <v>17089</v>
      </c>
      <c r="H436">
        <v>37070</v>
      </c>
      <c r="I436">
        <v>2.46</v>
      </c>
    </row>
    <row r="437" spans="1:9" ht="16">
      <c r="A437" t="s">
        <v>531</v>
      </c>
      <c r="B437" t="s">
        <v>146</v>
      </c>
      <c r="C437">
        <v>36.299999999999997</v>
      </c>
      <c r="D437">
        <v>52779</v>
      </c>
      <c r="E437">
        <v>47468</v>
      </c>
      <c r="F437">
        <v>100247</v>
      </c>
      <c r="G437">
        <v>5032</v>
      </c>
      <c r="H437">
        <v>28962</v>
      </c>
      <c r="I437">
        <v>2.57</v>
      </c>
    </row>
    <row r="438" spans="1:9" ht="16">
      <c r="A438" t="s">
        <v>532</v>
      </c>
      <c r="B438" t="s">
        <v>30</v>
      </c>
      <c r="C438">
        <v>31.6</v>
      </c>
      <c r="D438">
        <v>49902</v>
      </c>
      <c r="E438">
        <v>53235</v>
      </c>
      <c r="F438">
        <v>103137</v>
      </c>
      <c r="G438">
        <v>2036</v>
      </c>
      <c r="H438">
        <v>32741</v>
      </c>
      <c r="I438">
        <v>3.83</v>
      </c>
    </row>
    <row r="439" spans="1:9" ht="16">
      <c r="A439" t="s">
        <v>533</v>
      </c>
      <c r="B439" t="s">
        <v>32</v>
      </c>
      <c r="C439">
        <v>35.5</v>
      </c>
      <c r="D439">
        <v>54676</v>
      </c>
      <c r="E439">
        <v>56151</v>
      </c>
      <c r="F439">
        <v>110827</v>
      </c>
      <c r="G439">
        <v>4797</v>
      </c>
      <c r="H439">
        <v>29579</v>
      </c>
      <c r="I439">
        <v>2.83</v>
      </c>
    </row>
    <row r="440" spans="1:9" ht="16">
      <c r="A440" t="s">
        <v>534</v>
      </c>
      <c r="B440" t="s">
        <v>30</v>
      </c>
      <c r="C440">
        <v>35.299999999999997</v>
      </c>
      <c r="D440">
        <v>52615</v>
      </c>
      <c r="E440">
        <v>57100</v>
      </c>
      <c r="F440">
        <v>109715</v>
      </c>
      <c r="G440">
        <v>3611</v>
      </c>
      <c r="H440">
        <v>42215</v>
      </c>
      <c r="I440">
        <v>2.87</v>
      </c>
    </row>
    <row r="441" spans="1:9" ht="16">
      <c r="A441" t="s">
        <v>534</v>
      </c>
      <c r="B441" t="s">
        <v>61</v>
      </c>
      <c r="C441">
        <v>33.6</v>
      </c>
      <c r="D441">
        <v>104793</v>
      </c>
      <c r="E441">
        <v>115496</v>
      </c>
      <c r="F441">
        <v>220289</v>
      </c>
      <c r="G441">
        <v>12538</v>
      </c>
      <c r="H441">
        <v>15741</v>
      </c>
      <c r="I441">
        <v>2.29</v>
      </c>
    </row>
    <row r="442" spans="1:9" ht="16">
      <c r="A442" t="s">
        <v>535</v>
      </c>
      <c r="B442" t="s">
        <v>26</v>
      </c>
      <c r="C442">
        <v>38.299999999999997</v>
      </c>
      <c r="D442">
        <v>47251</v>
      </c>
      <c r="E442">
        <v>46904</v>
      </c>
      <c r="F442">
        <v>94155</v>
      </c>
      <c r="G442">
        <v>8527</v>
      </c>
      <c r="H442">
        <v>5200</v>
      </c>
      <c r="I442">
        <v>2.86</v>
      </c>
    </row>
    <row r="443" spans="1:9" ht="16">
      <c r="A443" t="s">
        <v>136</v>
      </c>
      <c r="B443" t="s">
        <v>30</v>
      </c>
      <c r="C443">
        <v>31.4</v>
      </c>
      <c r="D443">
        <v>160613</v>
      </c>
      <c r="E443">
        <v>161810</v>
      </c>
      <c r="F443">
        <v>322423</v>
      </c>
      <c r="G443">
        <v>12373</v>
      </c>
      <c r="H443">
        <v>69584</v>
      </c>
      <c r="I443">
        <v>3.34</v>
      </c>
    </row>
    <row r="444" spans="1:9" ht="16">
      <c r="A444" t="s">
        <v>536</v>
      </c>
      <c r="B444" t="s">
        <v>39</v>
      </c>
      <c r="C444">
        <v>32.200000000000003</v>
      </c>
      <c r="D444">
        <v>44210</v>
      </c>
      <c r="E444">
        <v>45536</v>
      </c>
      <c r="F444">
        <v>89746</v>
      </c>
      <c r="G444">
        <v>6943</v>
      </c>
      <c r="H444">
        <v>12240</v>
      </c>
      <c r="I444">
        <v>3.22</v>
      </c>
    </row>
    <row r="445" spans="1:9" ht="16">
      <c r="A445" t="s">
        <v>537</v>
      </c>
      <c r="B445" t="s">
        <v>61</v>
      </c>
      <c r="C445">
        <v>36.9</v>
      </c>
      <c r="D445">
        <v>47252</v>
      </c>
      <c r="E445">
        <v>52645</v>
      </c>
      <c r="F445">
        <v>99897</v>
      </c>
      <c r="G445">
        <v>6567</v>
      </c>
      <c r="H445">
        <v>7346</v>
      </c>
      <c r="I445">
        <v>2.35</v>
      </c>
    </row>
    <row r="446" spans="1:9" ht="16">
      <c r="A446" t="s">
        <v>538</v>
      </c>
      <c r="B446" t="s">
        <v>43</v>
      </c>
      <c r="C446">
        <v>31.4</v>
      </c>
      <c r="D446">
        <v>100135</v>
      </c>
      <c r="E446">
        <v>109673</v>
      </c>
      <c r="F446">
        <v>209808</v>
      </c>
      <c r="G446">
        <v>7288</v>
      </c>
      <c r="H446">
        <v>17735</v>
      </c>
      <c r="I446">
        <v>2.36</v>
      </c>
    </row>
    <row r="447" spans="1:9" ht="16">
      <c r="A447" t="s">
        <v>538</v>
      </c>
      <c r="B447" t="s">
        <v>115</v>
      </c>
      <c r="C447">
        <v>35</v>
      </c>
      <c r="D447">
        <v>54934</v>
      </c>
      <c r="E447">
        <v>57282</v>
      </c>
      <c r="F447">
        <v>112216</v>
      </c>
      <c r="G447">
        <v>6888</v>
      </c>
      <c r="H447">
        <v>17763</v>
      </c>
      <c r="I447">
        <v>2.5499999999999998</v>
      </c>
    </row>
    <row r="448" spans="1:9" ht="16">
      <c r="A448" t="s">
        <v>539</v>
      </c>
      <c r="B448" t="s">
        <v>76</v>
      </c>
      <c r="C448">
        <v>41.2</v>
      </c>
      <c r="D448">
        <v>36356</v>
      </c>
      <c r="E448">
        <v>37076</v>
      </c>
      <c r="F448">
        <v>73432</v>
      </c>
      <c r="G448">
        <v>3053</v>
      </c>
      <c r="H448">
        <v>13708</v>
      </c>
      <c r="I448">
        <v>2.66</v>
      </c>
    </row>
    <row r="449" spans="1:9" ht="16">
      <c r="A449" t="s">
        <v>540</v>
      </c>
      <c r="B449" t="s">
        <v>257</v>
      </c>
      <c r="C449">
        <v>34.5</v>
      </c>
      <c r="D449">
        <v>33324</v>
      </c>
      <c r="E449">
        <v>38243</v>
      </c>
      <c r="F449">
        <v>71567</v>
      </c>
      <c r="G449">
        <v>4755</v>
      </c>
      <c r="H449">
        <v>2413</v>
      </c>
      <c r="I449">
        <v>2.29</v>
      </c>
    </row>
    <row r="450" spans="1:9" ht="16">
      <c r="A450" t="s">
        <v>541</v>
      </c>
      <c r="B450" t="s">
        <v>63</v>
      </c>
      <c r="C450">
        <v>36.299999999999997</v>
      </c>
      <c r="D450">
        <v>71076</v>
      </c>
      <c r="E450">
        <v>78270</v>
      </c>
      <c r="F450">
        <v>149346</v>
      </c>
      <c r="G450">
        <v>8894</v>
      </c>
      <c r="H450">
        <v>18323</v>
      </c>
      <c r="I450">
        <v>2.52</v>
      </c>
    </row>
    <row r="451" spans="1:9" ht="16">
      <c r="A451" t="s">
        <v>542</v>
      </c>
      <c r="B451" t="s">
        <v>48</v>
      </c>
      <c r="C451">
        <v>38.1</v>
      </c>
      <c r="D451">
        <v>31205</v>
      </c>
      <c r="E451">
        <v>35793</v>
      </c>
      <c r="F451">
        <v>66998</v>
      </c>
      <c r="G451">
        <v>1990</v>
      </c>
      <c r="H451">
        <v>25047</v>
      </c>
      <c r="I451">
        <v>2.6</v>
      </c>
    </row>
    <row r="452" spans="1:9" ht="16">
      <c r="A452" t="s">
        <v>543</v>
      </c>
      <c r="B452" t="s">
        <v>30</v>
      </c>
      <c r="C452">
        <v>38.4</v>
      </c>
      <c r="D452">
        <v>62591</v>
      </c>
      <c r="E452">
        <v>67691</v>
      </c>
      <c r="F452">
        <v>130282</v>
      </c>
      <c r="G452">
        <v>8386</v>
      </c>
      <c r="H452">
        <v>18161</v>
      </c>
      <c r="I452">
        <v>2.72</v>
      </c>
    </row>
    <row r="453" spans="1:9" ht="16">
      <c r="A453" t="s">
        <v>544</v>
      </c>
      <c r="B453" t="s">
        <v>28</v>
      </c>
      <c r="C453">
        <v>38.799999999999997</v>
      </c>
      <c r="D453">
        <v>48637</v>
      </c>
      <c r="E453">
        <v>45859</v>
      </c>
      <c r="F453">
        <v>94496</v>
      </c>
      <c r="G453">
        <v>3325</v>
      </c>
      <c r="H453">
        <v>16501</v>
      </c>
      <c r="I453">
        <v>2.7</v>
      </c>
    </row>
    <row r="454" spans="1:9" ht="16">
      <c r="A454" t="s">
        <v>545</v>
      </c>
      <c r="B454" t="s">
        <v>32</v>
      </c>
      <c r="C454">
        <v>34.9</v>
      </c>
      <c r="D454">
        <v>56646</v>
      </c>
      <c r="E454">
        <v>59193</v>
      </c>
      <c r="F454">
        <v>115839</v>
      </c>
      <c r="G454">
        <v>6804</v>
      </c>
      <c r="H454">
        <v>18237</v>
      </c>
      <c r="I454">
        <v>3.13</v>
      </c>
    </row>
    <row r="455" spans="1:9" ht="16">
      <c r="A455" t="s">
        <v>137</v>
      </c>
      <c r="B455" t="s">
        <v>30</v>
      </c>
      <c r="C455">
        <v>33.700000000000003</v>
      </c>
      <c r="D455">
        <v>237724</v>
      </c>
      <c r="E455">
        <v>252991</v>
      </c>
      <c r="F455">
        <v>490715</v>
      </c>
      <c r="G455">
        <v>19698</v>
      </c>
      <c r="H455">
        <v>112579</v>
      </c>
      <c r="I455">
        <v>2.73</v>
      </c>
    </row>
    <row r="456" spans="1:9" ht="16">
      <c r="A456" t="s">
        <v>546</v>
      </c>
      <c r="B456" t="s">
        <v>101</v>
      </c>
      <c r="C456">
        <v>34.9</v>
      </c>
      <c r="D456">
        <v>32054</v>
      </c>
      <c r="E456">
        <v>36747</v>
      </c>
      <c r="F456">
        <v>68801</v>
      </c>
      <c r="G456">
        <v>4371</v>
      </c>
      <c r="H456">
        <v>5274</v>
      </c>
      <c r="I456">
        <v>2.33</v>
      </c>
    </row>
    <row r="457" spans="1:9" ht="16">
      <c r="A457" t="s">
        <v>547</v>
      </c>
      <c r="B457" t="s">
        <v>115</v>
      </c>
      <c r="C457">
        <v>30.7</v>
      </c>
      <c r="D457">
        <v>34311</v>
      </c>
      <c r="E457">
        <v>33942</v>
      </c>
      <c r="F457">
        <v>68253</v>
      </c>
      <c r="G457">
        <v>5012</v>
      </c>
      <c r="H457">
        <v>5757</v>
      </c>
      <c r="I457">
        <v>2.41</v>
      </c>
    </row>
    <row r="458" spans="1:9" ht="16">
      <c r="A458" t="s">
        <v>548</v>
      </c>
      <c r="B458" t="s">
        <v>405</v>
      </c>
      <c r="C458">
        <v>37.299999999999997</v>
      </c>
      <c r="D458">
        <v>38732</v>
      </c>
      <c r="E458">
        <v>41475</v>
      </c>
      <c r="F458">
        <v>80207</v>
      </c>
      <c r="G458">
        <v>4443</v>
      </c>
      <c r="H458">
        <v>4824</v>
      </c>
      <c r="I458">
        <v>2.81</v>
      </c>
    </row>
    <row r="459" spans="1:9" ht="16">
      <c r="A459" t="s">
        <v>549</v>
      </c>
      <c r="B459" t="s">
        <v>101</v>
      </c>
      <c r="C459">
        <v>35.700000000000003</v>
      </c>
      <c r="D459">
        <v>37688</v>
      </c>
      <c r="E459">
        <v>38408</v>
      </c>
      <c r="F459">
        <v>76096</v>
      </c>
      <c r="G459">
        <v>5846</v>
      </c>
      <c r="H459">
        <v>3755</v>
      </c>
      <c r="I459">
        <v>2.58</v>
      </c>
    </row>
    <row r="460" spans="1:9" ht="16">
      <c r="A460" t="s">
        <v>550</v>
      </c>
      <c r="B460" t="s">
        <v>101</v>
      </c>
      <c r="C460">
        <v>35</v>
      </c>
      <c r="D460">
        <v>153026</v>
      </c>
      <c r="E460">
        <v>162659</v>
      </c>
      <c r="F460">
        <v>315685</v>
      </c>
      <c r="G460">
        <v>17060</v>
      </c>
      <c r="H460">
        <v>21802</v>
      </c>
      <c r="I460">
        <v>2.16</v>
      </c>
    </row>
    <row r="461" spans="1:9" ht="16">
      <c r="A461" t="s">
        <v>551</v>
      </c>
      <c r="B461" t="s">
        <v>115</v>
      </c>
      <c r="C461">
        <v>31.5</v>
      </c>
      <c r="D461">
        <v>149547</v>
      </c>
      <c r="E461">
        <v>151293</v>
      </c>
      <c r="F461">
        <v>300840</v>
      </c>
      <c r="G461">
        <v>10548</v>
      </c>
      <c r="H461">
        <v>56514</v>
      </c>
      <c r="I461">
        <v>2.58</v>
      </c>
    </row>
    <row r="462" spans="1:9" ht="16">
      <c r="A462" t="s">
        <v>552</v>
      </c>
      <c r="B462" t="s">
        <v>39</v>
      </c>
      <c r="C462">
        <v>41.8</v>
      </c>
      <c r="D462">
        <v>123524</v>
      </c>
      <c r="E462">
        <v>133564</v>
      </c>
      <c r="F462">
        <v>257088</v>
      </c>
      <c r="G462">
        <v>20247</v>
      </c>
      <c r="H462">
        <v>28567</v>
      </c>
      <c r="I462">
        <v>2.42</v>
      </c>
    </row>
    <row r="463" spans="1:9" ht="16">
      <c r="A463" t="s">
        <v>553</v>
      </c>
      <c r="B463" t="s">
        <v>133</v>
      </c>
      <c r="C463">
        <v>35.4</v>
      </c>
      <c r="D463">
        <v>80839</v>
      </c>
      <c r="E463">
        <v>83704</v>
      </c>
      <c r="F463">
        <v>164543</v>
      </c>
      <c r="G463">
        <v>9685</v>
      </c>
      <c r="H463">
        <v>19668</v>
      </c>
      <c r="I463">
        <v>2.69</v>
      </c>
    </row>
    <row r="464" spans="1:9" ht="16">
      <c r="A464" t="s">
        <v>554</v>
      </c>
      <c r="B464" t="s">
        <v>30</v>
      </c>
      <c r="C464">
        <v>30.4</v>
      </c>
      <c r="D464">
        <v>77765</v>
      </c>
      <c r="E464">
        <v>79621</v>
      </c>
      <c r="F464">
        <v>157386</v>
      </c>
      <c r="G464">
        <v>4020</v>
      </c>
      <c r="H464">
        <v>58693</v>
      </c>
      <c r="I464">
        <v>3.72</v>
      </c>
    </row>
    <row r="465" spans="1:9" ht="16">
      <c r="A465" t="s">
        <v>555</v>
      </c>
      <c r="B465" t="s">
        <v>405</v>
      </c>
      <c r="C465">
        <v>32.1</v>
      </c>
      <c r="D465">
        <v>98364</v>
      </c>
      <c r="E465">
        <v>94296</v>
      </c>
      <c r="F465">
        <v>192660</v>
      </c>
      <c r="G465">
        <v>6829</v>
      </c>
      <c r="H465">
        <v>32166</v>
      </c>
      <c r="I465">
        <v>2.38</v>
      </c>
    </row>
    <row r="466" spans="1:9" ht="16">
      <c r="A466" t="s">
        <v>556</v>
      </c>
      <c r="B466" t="s">
        <v>32</v>
      </c>
      <c r="C466">
        <v>32.799999999999997</v>
      </c>
      <c r="D466">
        <v>49669</v>
      </c>
      <c r="E466">
        <v>50744</v>
      </c>
      <c r="F466">
        <v>100413</v>
      </c>
      <c r="G466">
        <v>8412</v>
      </c>
      <c r="H466">
        <v>7859</v>
      </c>
      <c r="I466">
        <v>2.5</v>
      </c>
    </row>
    <row r="467" spans="1:9" ht="16">
      <c r="A467" t="s">
        <v>138</v>
      </c>
      <c r="B467" t="s">
        <v>32</v>
      </c>
      <c r="C467">
        <v>33.1</v>
      </c>
      <c r="D467">
        <v>721405</v>
      </c>
      <c r="E467">
        <v>748419</v>
      </c>
      <c r="F467">
        <v>1469824</v>
      </c>
      <c r="G467">
        <v>109089</v>
      </c>
      <c r="H467">
        <v>208046</v>
      </c>
      <c r="I467">
        <v>2.93</v>
      </c>
    </row>
    <row r="468" spans="1:9" ht="16">
      <c r="A468" t="s">
        <v>139</v>
      </c>
      <c r="B468" t="s">
        <v>30</v>
      </c>
      <c r="C468">
        <v>28.5</v>
      </c>
      <c r="D468">
        <v>108671</v>
      </c>
      <c r="E468">
        <v>107466</v>
      </c>
      <c r="F468">
        <v>216137</v>
      </c>
      <c r="G468">
        <v>7741</v>
      </c>
      <c r="H468">
        <v>55135</v>
      </c>
      <c r="I468">
        <v>3.55</v>
      </c>
    </row>
    <row r="469" spans="1:9" ht="16">
      <c r="A469" t="s">
        <v>557</v>
      </c>
      <c r="B469" t="s">
        <v>30</v>
      </c>
      <c r="C469">
        <v>37.700000000000003</v>
      </c>
      <c r="D469">
        <v>53932</v>
      </c>
      <c r="E469">
        <v>55785</v>
      </c>
      <c r="F469">
        <v>109717</v>
      </c>
      <c r="G469">
        <v>5980</v>
      </c>
      <c r="H469">
        <v>18025</v>
      </c>
      <c r="I469">
        <v>2.68</v>
      </c>
    </row>
    <row r="470" spans="1:9" ht="16">
      <c r="A470" t="s">
        <v>558</v>
      </c>
      <c r="B470" t="s">
        <v>30</v>
      </c>
      <c r="C470">
        <v>45.2</v>
      </c>
      <c r="D470">
        <v>34076</v>
      </c>
      <c r="E470">
        <v>31456</v>
      </c>
      <c r="F470">
        <v>65532</v>
      </c>
      <c r="G470">
        <v>3970</v>
      </c>
      <c r="H470">
        <v>8109</v>
      </c>
      <c r="I470">
        <v>2.64</v>
      </c>
    </row>
    <row r="471" spans="1:9" ht="16">
      <c r="A471" t="s">
        <v>47</v>
      </c>
      <c r="B471" t="s">
        <v>30</v>
      </c>
      <c r="C471">
        <v>34.5</v>
      </c>
      <c r="D471">
        <v>693826</v>
      </c>
      <c r="E471">
        <v>701081</v>
      </c>
      <c r="F471">
        <v>1394907</v>
      </c>
      <c r="G471">
        <v>92489</v>
      </c>
      <c r="H471">
        <v>373842</v>
      </c>
      <c r="I471">
        <v>2.73</v>
      </c>
    </row>
    <row r="472" spans="1:9" ht="16">
      <c r="A472" t="s">
        <v>140</v>
      </c>
      <c r="B472" t="s">
        <v>30</v>
      </c>
      <c r="C472">
        <v>38.299999999999997</v>
      </c>
      <c r="D472">
        <v>439752</v>
      </c>
      <c r="E472">
        <v>425064</v>
      </c>
      <c r="F472">
        <v>864816</v>
      </c>
      <c r="G472">
        <v>26276</v>
      </c>
      <c r="H472">
        <v>297199</v>
      </c>
      <c r="I472">
        <v>2.37</v>
      </c>
    </row>
    <row r="473" spans="1:9" ht="16">
      <c r="A473" t="s">
        <v>141</v>
      </c>
      <c r="B473" t="s">
        <v>30</v>
      </c>
      <c r="C473">
        <v>36.5</v>
      </c>
      <c r="D473">
        <v>518317</v>
      </c>
      <c r="E473">
        <v>508602</v>
      </c>
      <c r="F473">
        <v>1026919</v>
      </c>
      <c r="G473">
        <v>27269</v>
      </c>
      <c r="H473">
        <v>401493</v>
      </c>
      <c r="I473">
        <v>3.13</v>
      </c>
    </row>
    <row r="474" spans="1:9" ht="16">
      <c r="A474" t="s">
        <v>559</v>
      </c>
      <c r="B474" t="s">
        <v>204</v>
      </c>
      <c r="C474">
        <v>41.4</v>
      </c>
      <c r="D474">
        <v>155408</v>
      </c>
      <c r="E474">
        <v>186829</v>
      </c>
      <c r="F474">
        <v>342237</v>
      </c>
    </row>
    <row r="475" spans="1:9" ht="16">
      <c r="A475" t="s">
        <v>560</v>
      </c>
      <c r="B475" t="s">
        <v>30</v>
      </c>
      <c r="C475">
        <v>41.8</v>
      </c>
      <c r="D475">
        <v>43032</v>
      </c>
      <c r="E475">
        <v>47679</v>
      </c>
      <c r="F475">
        <v>90711</v>
      </c>
      <c r="G475">
        <v>4111</v>
      </c>
      <c r="H475">
        <v>34293</v>
      </c>
      <c r="I475">
        <v>2.79</v>
      </c>
    </row>
    <row r="476" spans="1:9" ht="16">
      <c r="A476" t="s">
        <v>561</v>
      </c>
      <c r="B476" t="s">
        <v>30</v>
      </c>
      <c r="C476">
        <v>35.4</v>
      </c>
      <c r="D476">
        <v>45246</v>
      </c>
      <c r="E476">
        <v>47688</v>
      </c>
      <c r="F476">
        <v>92934</v>
      </c>
      <c r="G476">
        <v>5189</v>
      </c>
      <c r="H476">
        <v>21558</v>
      </c>
      <c r="I476">
        <v>3.13</v>
      </c>
    </row>
    <row r="477" spans="1:9" ht="16">
      <c r="A477" t="s">
        <v>562</v>
      </c>
      <c r="B477" t="s">
        <v>30</v>
      </c>
      <c r="C477">
        <v>39.299999999999997</v>
      </c>
      <c r="D477">
        <v>50966</v>
      </c>
      <c r="E477">
        <v>52558</v>
      </c>
      <c r="F477">
        <v>103524</v>
      </c>
      <c r="G477">
        <v>2730</v>
      </c>
      <c r="H477">
        <v>34957</v>
      </c>
      <c r="I477">
        <v>2.64</v>
      </c>
    </row>
    <row r="478" spans="1:9" ht="16">
      <c r="A478" t="s">
        <v>563</v>
      </c>
      <c r="B478" t="s">
        <v>30</v>
      </c>
      <c r="C478">
        <v>39.1</v>
      </c>
      <c r="D478">
        <v>39221</v>
      </c>
      <c r="E478">
        <v>36911</v>
      </c>
      <c r="F478">
        <v>76132</v>
      </c>
      <c r="G478">
        <v>2855</v>
      </c>
      <c r="H478">
        <v>29691</v>
      </c>
      <c r="I478">
        <v>3.09</v>
      </c>
    </row>
    <row r="479" spans="1:9" ht="16">
      <c r="A479" t="s">
        <v>564</v>
      </c>
      <c r="B479" t="s">
        <v>57</v>
      </c>
      <c r="C479">
        <v>31.3</v>
      </c>
      <c r="D479">
        <v>40429</v>
      </c>
      <c r="E479">
        <v>42368</v>
      </c>
      <c r="F479">
        <v>82797</v>
      </c>
      <c r="G479">
        <v>4300</v>
      </c>
      <c r="H479">
        <v>5757</v>
      </c>
      <c r="I479">
        <v>3.44</v>
      </c>
    </row>
    <row r="480" spans="1:9" ht="16">
      <c r="A480" t="s">
        <v>565</v>
      </c>
      <c r="B480" t="s">
        <v>405</v>
      </c>
      <c r="C480">
        <v>34.6</v>
      </c>
      <c r="D480">
        <v>46923</v>
      </c>
      <c r="E480">
        <v>46689</v>
      </c>
      <c r="F480">
        <v>93612</v>
      </c>
      <c r="G480">
        <v>3451</v>
      </c>
      <c r="H480">
        <v>6691</v>
      </c>
      <c r="I480">
        <v>3.22</v>
      </c>
    </row>
    <row r="481" spans="1:9" ht="16">
      <c r="A481" t="s">
        <v>566</v>
      </c>
      <c r="B481" t="s">
        <v>28</v>
      </c>
      <c r="C481">
        <v>35.4</v>
      </c>
      <c r="D481">
        <v>48570</v>
      </c>
      <c r="E481">
        <v>56777</v>
      </c>
      <c r="F481">
        <v>105347</v>
      </c>
      <c r="G481">
        <v>3015</v>
      </c>
      <c r="H481">
        <v>19837</v>
      </c>
      <c r="I481">
        <v>2.4</v>
      </c>
    </row>
    <row r="482" spans="1:9" ht="16">
      <c r="A482" t="s">
        <v>142</v>
      </c>
      <c r="B482" t="s">
        <v>30</v>
      </c>
      <c r="C482">
        <v>30.8</v>
      </c>
      <c r="D482">
        <v>167503</v>
      </c>
      <c r="E482">
        <v>167920</v>
      </c>
      <c r="F482">
        <v>335423</v>
      </c>
      <c r="G482">
        <v>4735</v>
      </c>
      <c r="H482">
        <v>152999</v>
      </c>
      <c r="I482">
        <v>4.58</v>
      </c>
    </row>
    <row r="483" spans="1:9" ht="16">
      <c r="A483" t="s">
        <v>567</v>
      </c>
      <c r="B483" t="s">
        <v>30</v>
      </c>
      <c r="C483">
        <v>37.799999999999997</v>
      </c>
      <c r="D483">
        <v>45068</v>
      </c>
      <c r="E483">
        <v>46784</v>
      </c>
      <c r="F483">
        <v>91852</v>
      </c>
      <c r="G483">
        <v>4518</v>
      </c>
      <c r="H483">
        <v>19441</v>
      </c>
      <c r="I483">
        <v>2.5099999999999998</v>
      </c>
    </row>
    <row r="484" spans="1:9" ht="16">
      <c r="A484" t="s">
        <v>143</v>
      </c>
      <c r="B484" t="s">
        <v>30</v>
      </c>
      <c r="C484">
        <v>35.200000000000003</v>
      </c>
      <c r="D484">
        <v>63278</v>
      </c>
      <c r="E484">
        <v>62938</v>
      </c>
      <c r="F484">
        <v>126216</v>
      </c>
      <c r="G484">
        <v>4426</v>
      </c>
      <c r="H484">
        <v>52281</v>
      </c>
      <c r="I484">
        <v>2.75</v>
      </c>
    </row>
    <row r="485" spans="1:9" ht="16">
      <c r="A485" t="s">
        <v>568</v>
      </c>
      <c r="B485" t="s">
        <v>30</v>
      </c>
      <c r="C485">
        <v>38.1</v>
      </c>
      <c r="D485">
        <v>90192</v>
      </c>
      <c r="E485">
        <v>92175</v>
      </c>
      <c r="F485">
        <v>182367</v>
      </c>
      <c r="G485">
        <v>8537</v>
      </c>
      <c r="H485">
        <v>40666</v>
      </c>
      <c r="I485">
        <v>3.02</v>
      </c>
    </row>
    <row r="486" spans="1:9" ht="16">
      <c r="A486" t="s">
        <v>569</v>
      </c>
      <c r="B486" t="s">
        <v>26</v>
      </c>
      <c r="C486">
        <v>44.1</v>
      </c>
      <c r="D486">
        <v>40601</v>
      </c>
      <c r="E486">
        <v>43511</v>
      </c>
      <c r="F486">
        <v>84112</v>
      </c>
      <c r="G486">
        <v>5083</v>
      </c>
      <c r="H486">
        <v>13824</v>
      </c>
      <c r="I486">
        <v>2.41</v>
      </c>
    </row>
    <row r="487" spans="1:9" ht="16">
      <c r="A487" t="s">
        <v>570</v>
      </c>
      <c r="B487" t="s">
        <v>30</v>
      </c>
      <c r="C487">
        <v>30.1</v>
      </c>
      <c r="D487">
        <v>53320</v>
      </c>
      <c r="E487">
        <v>51762</v>
      </c>
      <c r="F487">
        <v>105082</v>
      </c>
      <c r="G487">
        <v>2876</v>
      </c>
      <c r="H487">
        <v>39192</v>
      </c>
      <c r="I487">
        <v>3.83</v>
      </c>
    </row>
    <row r="488" spans="1:9" ht="16">
      <c r="A488" t="s">
        <v>571</v>
      </c>
      <c r="B488" t="s">
        <v>30</v>
      </c>
      <c r="C488">
        <v>40.6</v>
      </c>
      <c r="D488">
        <v>46732</v>
      </c>
      <c r="E488">
        <v>46487</v>
      </c>
      <c r="F488">
        <v>93219</v>
      </c>
      <c r="G488">
        <v>2008</v>
      </c>
      <c r="H488">
        <v>24448</v>
      </c>
      <c r="I488">
        <v>2</v>
      </c>
    </row>
    <row r="489" spans="1:9" ht="16">
      <c r="A489" t="s">
        <v>572</v>
      </c>
      <c r="B489" t="s">
        <v>30</v>
      </c>
      <c r="C489">
        <v>37.9</v>
      </c>
      <c r="D489">
        <v>86840</v>
      </c>
      <c r="E489">
        <v>88149</v>
      </c>
      <c r="F489">
        <v>174989</v>
      </c>
      <c r="G489">
        <v>9101</v>
      </c>
      <c r="H489">
        <v>33015</v>
      </c>
      <c r="I489">
        <v>2.7</v>
      </c>
    </row>
    <row r="490" spans="1:9" ht="16">
      <c r="A490" t="s">
        <v>144</v>
      </c>
      <c r="B490" t="s">
        <v>28</v>
      </c>
      <c r="C490">
        <v>30.3</v>
      </c>
      <c r="D490">
        <v>69389</v>
      </c>
      <c r="E490">
        <v>76295</v>
      </c>
      <c r="F490">
        <v>145684</v>
      </c>
      <c r="G490">
        <v>9717</v>
      </c>
      <c r="H490">
        <v>10355</v>
      </c>
      <c r="I490">
        <v>2.57</v>
      </c>
    </row>
    <row r="491" spans="1:9" ht="16">
      <c r="A491" t="s">
        <v>573</v>
      </c>
      <c r="B491" t="s">
        <v>63</v>
      </c>
      <c r="C491">
        <v>36.9</v>
      </c>
      <c r="D491">
        <v>35971</v>
      </c>
      <c r="E491">
        <v>39840</v>
      </c>
      <c r="F491">
        <v>75811</v>
      </c>
      <c r="G491">
        <v>2019</v>
      </c>
      <c r="H491">
        <v>24614</v>
      </c>
      <c r="I491">
        <v>2.72</v>
      </c>
    </row>
    <row r="492" spans="1:9" ht="16">
      <c r="A492" t="s">
        <v>574</v>
      </c>
      <c r="B492" t="s">
        <v>43</v>
      </c>
      <c r="C492">
        <v>36.700000000000003</v>
      </c>
      <c r="D492">
        <v>32398</v>
      </c>
      <c r="E492">
        <v>32901</v>
      </c>
      <c r="F492">
        <v>65299</v>
      </c>
      <c r="G492">
        <v>3388</v>
      </c>
      <c r="H492">
        <v>10961</v>
      </c>
      <c r="I492">
        <v>2.82</v>
      </c>
    </row>
    <row r="493" spans="1:9" ht="16">
      <c r="A493" t="s">
        <v>145</v>
      </c>
      <c r="B493" t="s">
        <v>57</v>
      </c>
      <c r="C493">
        <v>46.9</v>
      </c>
      <c r="D493">
        <v>115712</v>
      </c>
      <c r="E493">
        <v>121132</v>
      </c>
      <c r="F493">
        <v>236844</v>
      </c>
      <c r="G493">
        <v>16798</v>
      </c>
      <c r="H493">
        <v>27207</v>
      </c>
      <c r="I493">
        <v>2.17</v>
      </c>
    </row>
    <row r="494" spans="1:9" ht="16">
      <c r="A494" t="s">
        <v>575</v>
      </c>
      <c r="B494" t="s">
        <v>44</v>
      </c>
      <c r="C494">
        <v>38.5</v>
      </c>
      <c r="D494">
        <v>37975</v>
      </c>
      <c r="E494">
        <v>39137</v>
      </c>
      <c r="F494">
        <v>77112</v>
      </c>
      <c r="G494">
        <v>5059</v>
      </c>
      <c r="H494">
        <v>8069</v>
      </c>
      <c r="I494">
        <v>2.39</v>
      </c>
    </row>
    <row r="495" spans="1:9" ht="16">
      <c r="A495" t="s">
        <v>147</v>
      </c>
      <c r="B495" t="s">
        <v>146</v>
      </c>
      <c r="C495">
        <v>35.5</v>
      </c>
      <c r="D495">
        <v>345659</v>
      </c>
      <c r="E495">
        <v>338784</v>
      </c>
      <c r="F495">
        <v>684443</v>
      </c>
      <c r="G495">
        <v>29364</v>
      </c>
      <c r="H495">
        <v>119840</v>
      </c>
      <c r="I495">
        <v>2.13</v>
      </c>
    </row>
    <row r="496" spans="1:9" ht="16">
      <c r="A496" t="s">
        <v>576</v>
      </c>
      <c r="B496" t="s">
        <v>158</v>
      </c>
      <c r="C496">
        <v>40.1</v>
      </c>
      <c r="D496">
        <v>32313</v>
      </c>
      <c r="E496">
        <v>32745</v>
      </c>
      <c r="F496">
        <v>65058</v>
      </c>
      <c r="G496">
        <v>3575</v>
      </c>
      <c r="H496">
        <v>4136</v>
      </c>
      <c r="I496">
        <v>2.64</v>
      </c>
    </row>
    <row r="497" spans="1:9" ht="16">
      <c r="A497" t="s">
        <v>577</v>
      </c>
      <c r="B497" t="s">
        <v>52</v>
      </c>
      <c r="C497">
        <v>35.200000000000003</v>
      </c>
      <c r="D497">
        <v>93138</v>
      </c>
      <c r="E497">
        <v>103856</v>
      </c>
      <c r="F497">
        <v>196994</v>
      </c>
      <c r="G497">
        <v>14287</v>
      </c>
      <c r="H497">
        <v>5658</v>
      </c>
      <c r="I497">
        <v>2.5299999999999998</v>
      </c>
    </row>
    <row r="498" spans="1:9" ht="16">
      <c r="A498" t="s">
        <v>578</v>
      </c>
      <c r="B498" t="s">
        <v>48</v>
      </c>
      <c r="C498">
        <v>33.799999999999997</v>
      </c>
      <c r="D498">
        <v>40601</v>
      </c>
      <c r="E498">
        <v>41862</v>
      </c>
      <c r="F498">
        <v>82463</v>
      </c>
      <c r="G498">
        <v>1562</v>
      </c>
      <c r="H498">
        <v>30908</v>
      </c>
      <c r="I498">
        <v>2.6</v>
      </c>
    </row>
    <row r="499" spans="1:9" ht="16">
      <c r="A499" t="s">
        <v>579</v>
      </c>
      <c r="B499" t="s">
        <v>30</v>
      </c>
      <c r="C499">
        <v>39</v>
      </c>
      <c r="D499">
        <v>63243</v>
      </c>
      <c r="E499">
        <v>63523</v>
      </c>
      <c r="F499">
        <v>126766</v>
      </c>
      <c r="G499">
        <v>6063</v>
      </c>
      <c r="H499">
        <v>23260</v>
      </c>
      <c r="I499">
        <v>3.13</v>
      </c>
    </row>
    <row r="500" spans="1:9" ht="16">
      <c r="A500" t="s">
        <v>580</v>
      </c>
      <c r="B500" t="s">
        <v>74</v>
      </c>
      <c r="C500">
        <v>34.299999999999997</v>
      </c>
      <c r="D500">
        <v>38827</v>
      </c>
      <c r="E500">
        <v>43949</v>
      </c>
      <c r="F500">
        <v>82776</v>
      </c>
      <c r="G500">
        <v>4093</v>
      </c>
      <c r="H500">
        <v>7471</v>
      </c>
      <c r="I500">
        <v>2.57</v>
      </c>
    </row>
    <row r="501" spans="1:9" ht="16">
      <c r="A501" t="s">
        <v>581</v>
      </c>
      <c r="B501" t="s">
        <v>525</v>
      </c>
      <c r="C501">
        <v>34.6</v>
      </c>
      <c r="D501">
        <v>86596</v>
      </c>
      <c r="E501">
        <v>84934</v>
      </c>
      <c r="F501">
        <v>171530</v>
      </c>
      <c r="G501">
        <v>8658</v>
      </c>
      <c r="H501">
        <v>12934</v>
      </c>
      <c r="I501">
        <v>2.38</v>
      </c>
    </row>
    <row r="502" spans="1:9" ht="16">
      <c r="A502" t="s">
        <v>582</v>
      </c>
      <c r="B502" t="s">
        <v>63</v>
      </c>
      <c r="C502">
        <v>43.4</v>
      </c>
      <c r="D502">
        <v>31382</v>
      </c>
      <c r="E502">
        <v>33437</v>
      </c>
      <c r="F502">
        <v>64819</v>
      </c>
      <c r="G502">
        <v>1066</v>
      </c>
      <c r="H502">
        <v>27424</v>
      </c>
      <c r="I502">
        <v>2.78</v>
      </c>
    </row>
    <row r="503" spans="1:9" ht="16">
      <c r="A503" t="s">
        <v>583</v>
      </c>
      <c r="B503" t="s">
        <v>36</v>
      </c>
      <c r="C503">
        <v>31</v>
      </c>
      <c r="D503">
        <v>41028</v>
      </c>
      <c r="E503">
        <v>39306</v>
      </c>
      <c r="F503">
        <v>80334</v>
      </c>
      <c r="G503">
        <v>2103</v>
      </c>
      <c r="H503">
        <v>22292</v>
      </c>
      <c r="I503">
        <v>2.4300000000000002</v>
      </c>
    </row>
    <row r="504" spans="1:9" ht="16">
      <c r="A504" t="s">
        <v>584</v>
      </c>
      <c r="B504" t="s">
        <v>80</v>
      </c>
      <c r="C504">
        <v>32.4</v>
      </c>
      <c r="D504">
        <v>50483</v>
      </c>
      <c r="E504">
        <v>53274</v>
      </c>
      <c r="F504">
        <v>103757</v>
      </c>
      <c r="G504">
        <v>3708</v>
      </c>
      <c r="H504">
        <v>8779</v>
      </c>
      <c r="I504">
        <v>2.72</v>
      </c>
    </row>
    <row r="505" spans="1:9" ht="16">
      <c r="A505" t="s">
        <v>585</v>
      </c>
      <c r="B505" t="s">
        <v>30</v>
      </c>
      <c r="C505">
        <v>32.5</v>
      </c>
      <c r="D505">
        <v>47758</v>
      </c>
      <c r="E505">
        <v>48641</v>
      </c>
      <c r="F505">
        <v>96399</v>
      </c>
      <c r="G505">
        <v>724</v>
      </c>
      <c r="H505">
        <v>40571</v>
      </c>
      <c r="I505">
        <v>3.97</v>
      </c>
    </row>
    <row r="506" spans="1:9" ht="16">
      <c r="A506" t="s">
        <v>586</v>
      </c>
      <c r="B506" t="s">
        <v>405</v>
      </c>
      <c r="C506">
        <v>33.799999999999997</v>
      </c>
      <c r="D506">
        <v>33669</v>
      </c>
      <c r="E506">
        <v>32970</v>
      </c>
      <c r="F506">
        <v>66639</v>
      </c>
      <c r="G506">
        <v>2595</v>
      </c>
      <c r="H506">
        <v>6142</v>
      </c>
      <c r="I506">
        <v>3.61</v>
      </c>
    </row>
    <row r="507" spans="1:9" ht="16">
      <c r="A507" t="s">
        <v>587</v>
      </c>
      <c r="B507" t="s">
        <v>30</v>
      </c>
      <c r="C507">
        <v>39.4</v>
      </c>
      <c r="D507">
        <v>34177</v>
      </c>
      <c r="E507">
        <v>33094</v>
      </c>
      <c r="F507">
        <v>67271</v>
      </c>
      <c r="G507">
        <v>1839</v>
      </c>
      <c r="H507">
        <v>27528</v>
      </c>
      <c r="I507">
        <v>3.33</v>
      </c>
    </row>
    <row r="508" spans="1:9" ht="16">
      <c r="A508" t="s">
        <v>588</v>
      </c>
      <c r="B508" t="s">
        <v>76</v>
      </c>
      <c r="C508">
        <v>41.6</v>
      </c>
      <c r="D508">
        <v>31369</v>
      </c>
      <c r="E508">
        <v>41808</v>
      </c>
      <c r="F508">
        <v>73177</v>
      </c>
      <c r="G508">
        <v>4035</v>
      </c>
      <c r="H508">
        <v>4011</v>
      </c>
      <c r="I508">
        <v>2.27</v>
      </c>
    </row>
    <row r="509" spans="1:9" ht="16">
      <c r="A509" t="s">
        <v>589</v>
      </c>
      <c r="B509" t="s">
        <v>89</v>
      </c>
      <c r="C509">
        <v>36.1</v>
      </c>
      <c r="D509">
        <v>47780</v>
      </c>
      <c r="E509">
        <v>48318</v>
      </c>
      <c r="F509">
        <v>96098</v>
      </c>
      <c r="G509">
        <v>7315</v>
      </c>
      <c r="H509">
        <v>15690</v>
      </c>
      <c r="I509">
        <v>2.63</v>
      </c>
    </row>
    <row r="510" spans="1:9" ht="16">
      <c r="A510" t="s">
        <v>148</v>
      </c>
      <c r="B510" t="s">
        <v>146</v>
      </c>
      <c r="C510">
        <v>36.6</v>
      </c>
      <c r="D510">
        <v>102756</v>
      </c>
      <c r="E510">
        <v>110511</v>
      </c>
      <c r="F510">
        <v>213267</v>
      </c>
      <c r="G510">
        <v>18044</v>
      </c>
      <c r="H510">
        <v>13253</v>
      </c>
      <c r="I510">
        <v>2.34</v>
      </c>
    </row>
    <row r="511" spans="1:9" ht="16">
      <c r="A511" t="s">
        <v>590</v>
      </c>
      <c r="B511" t="s">
        <v>146</v>
      </c>
      <c r="C511">
        <v>36</v>
      </c>
      <c r="D511">
        <v>49933</v>
      </c>
      <c r="E511">
        <v>44975</v>
      </c>
      <c r="F511">
        <v>94908</v>
      </c>
      <c r="G511">
        <v>7984</v>
      </c>
      <c r="H511">
        <v>4199</v>
      </c>
      <c r="I511">
        <v>2.39</v>
      </c>
    </row>
    <row r="512" spans="1:9" ht="16">
      <c r="A512" t="s">
        <v>591</v>
      </c>
      <c r="B512" t="s">
        <v>39</v>
      </c>
      <c r="C512">
        <v>45.1</v>
      </c>
      <c r="D512">
        <v>48295</v>
      </c>
      <c r="E512">
        <v>54902</v>
      </c>
      <c r="F512">
        <v>103197</v>
      </c>
      <c r="G512">
        <v>9737</v>
      </c>
      <c r="H512">
        <v>7893</v>
      </c>
      <c r="I512">
        <v>2.58</v>
      </c>
    </row>
    <row r="513" spans="1:9" ht="16">
      <c r="A513" t="s">
        <v>592</v>
      </c>
      <c r="B513" t="s">
        <v>89</v>
      </c>
      <c r="C513">
        <v>37</v>
      </c>
      <c r="D513">
        <v>96808</v>
      </c>
      <c r="E513">
        <v>97147</v>
      </c>
      <c r="F513">
        <v>193955</v>
      </c>
      <c r="G513">
        <v>10644</v>
      </c>
      <c r="H513">
        <v>61072</v>
      </c>
      <c r="I513">
        <v>2.79</v>
      </c>
    </row>
    <row r="514" spans="1:9" ht="16">
      <c r="A514" t="s">
        <v>593</v>
      </c>
      <c r="B514" t="s">
        <v>320</v>
      </c>
      <c r="C514">
        <v>31.8</v>
      </c>
      <c r="D514">
        <v>36840</v>
      </c>
      <c r="E514">
        <v>43614</v>
      </c>
      <c r="F514">
        <v>80454</v>
      </c>
      <c r="G514">
        <v>3397</v>
      </c>
      <c r="H514">
        <v>19969</v>
      </c>
      <c r="I514">
        <v>3.04</v>
      </c>
    </row>
    <row r="515" spans="1:9" ht="16">
      <c r="A515" t="s">
        <v>594</v>
      </c>
      <c r="B515" t="s">
        <v>63</v>
      </c>
      <c r="C515">
        <v>38.799999999999997</v>
      </c>
      <c r="D515">
        <v>55639</v>
      </c>
      <c r="E515">
        <v>62170</v>
      </c>
      <c r="F515">
        <v>117809</v>
      </c>
      <c r="G515">
        <v>7525</v>
      </c>
      <c r="H515">
        <v>4264</v>
      </c>
      <c r="I515">
        <v>2.2200000000000002</v>
      </c>
    </row>
    <row r="516" spans="1:9" ht="16">
      <c r="A516" t="s">
        <v>594</v>
      </c>
      <c r="B516" t="s">
        <v>101</v>
      </c>
      <c r="C516">
        <v>34.1</v>
      </c>
      <c r="D516">
        <v>81057</v>
      </c>
      <c r="E516">
        <v>85741</v>
      </c>
      <c r="F516">
        <v>166798</v>
      </c>
      <c r="G516">
        <v>12291</v>
      </c>
      <c r="H516">
        <v>7765</v>
      </c>
      <c r="I516">
        <v>2.12</v>
      </c>
    </row>
    <row r="517" spans="1:9" ht="16">
      <c r="A517" t="s">
        <v>594</v>
      </c>
      <c r="B517" t="s">
        <v>36</v>
      </c>
      <c r="C517">
        <v>31.8</v>
      </c>
      <c r="D517">
        <v>74744</v>
      </c>
      <c r="E517">
        <v>79592</v>
      </c>
      <c r="F517">
        <v>154336</v>
      </c>
      <c r="G517">
        <v>5723</v>
      </c>
      <c r="H517">
        <v>16226</v>
      </c>
      <c r="I517">
        <v>2.81</v>
      </c>
    </row>
    <row r="518" spans="1:9" ht="16">
      <c r="A518" t="s">
        <v>595</v>
      </c>
      <c r="B518" t="s">
        <v>229</v>
      </c>
      <c r="C518">
        <v>35.4</v>
      </c>
      <c r="D518">
        <v>64941</v>
      </c>
      <c r="E518">
        <v>63936</v>
      </c>
      <c r="F518">
        <v>128877</v>
      </c>
      <c r="G518">
        <v>2269</v>
      </c>
      <c r="H518">
        <v>44003</v>
      </c>
      <c r="I518">
        <v>2.7</v>
      </c>
    </row>
    <row r="519" spans="1:9" ht="16">
      <c r="A519" t="s">
        <v>596</v>
      </c>
      <c r="B519" t="s">
        <v>76</v>
      </c>
      <c r="C519">
        <v>39.6</v>
      </c>
      <c r="D519">
        <v>64985</v>
      </c>
      <c r="E519">
        <v>67077</v>
      </c>
      <c r="F519">
        <v>132062</v>
      </c>
      <c r="G519">
        <v>6970</v>
      </c>
      <c r="H519">
        <v>34313</v>
      </c>
      <c r="I519">
        <v>2.66</v>
      </c>
    </row>
    <row r="520" spans="1:9" ht="16">
      <c r="A520" t="s">
        <v>597</v>
      </c>
      <c r="B520" t="s">
        <v>30</v>
      </c>
      <c r="C520">
        <v>32.5</v>
      </c>
      <c r="D520">
        <v>150976</v>
      </c>
      <c r="E520">
        <v>154674</v>
      </c>
      <c r="F520">
        <v>305650</v>
      </c>
      <c r="G520">
        <v>12822</v>
      </c>
      <c r="H520">
        <v>79583</v>
      </c>
      <c r="I520">
        <v>3.16</v>
      </c>
    </row>
    <row r="521" spans="1:9" ht="16">
      <c r="A521" t="s">
        <v>598</v>
      </c>
      <c r="B521" t="s">
        <v>61</v>
      </c>
      <c r="C521">
        <v>38.200000000000003</v>
      </c>
      <c r="D521">
        <v>43048</v>
      </c>
      <c r="E521">
        <v>45113</v>
      </c>
      <c r="F521">
        <v>88161</v>
      </c>
      <c r="G521">
        <v>10114</v>
      </c>
      <c r="H521">
        <v>2829</v>
      </c>
      <c r="I521">
        <v>2.72</v>
      </c>
    </row>
    <row r="522" spans="1:9" ht="16">
      <c r="A522" t="s">
        <v>599</v>
      </c>
      <c r="B522" t="s">
        <v>32</v>
      </c>
      <c r="C522">
        <v>42.1</v>
      </c>
      <c r="D522">
        <v>43889</v>
      </c>
      <c r="E522">
        <v>44240</v>
      </c>
      <c r="F522">
        <v>88129</v>
      </c>
      <c r="G522">
        <v>4377</v>
      </c>
      <c r="H522">
        <v>31169</v>
      </c>
      <c r="I522">
        <v>2.95</v>
      </c>
    </row>
    <row r="523" spans="1:9" ht="16">
      <c r="A523" t="s">
        <v>600</v>
      </c>
      <c r="B523" t="s">
        <v>30</v>
      </c>
      <c r="C523">
        <v>35.700000000000003</v>
      </c>
      <c r="D523">
        <v>79480</v>
      </c>
      <c r="E523">
        <v>72280</v>
      </c>
      <c r="F523">
        <v>151760</v>
      </c>
      <c r="G523">
        <v>3900</v>
      </c>
      <c r="H523">
        <v>71441</v>
      </c>
      <c r="I523">
        <v>2.74</v>
      </c>
    </row>
    <row r="524" spans="1:9" ht="16">
      <c r="A524" t="s">
        <v>601</v>
      </c>
      <c r="B524" t="s">
        <v>39</v>
      </c>
      <c r="C524">
        <v>37.700000000000003</v>
      </c>
      <c r="D524">
        <v>41471</v>
      </c>
      <c r="E524">
        <v>51235</v>
      </c>
      <c r="F524">
        <v>92706</v>
      </c>
      <c r="G524">
        <v>4108</v>
      </c>
      <c r="H524">
        <v>38209</v>
      </c>
      <c r="I524">
        <v>2.98</v>
      </c>
    </row>
    <row r="525" spans="1:9" ht="16">
      <c r="A525" t="s">
        <v>602</v>
      </c>
      <c r="B525" t="s">
        <v>89</v>
      </c>
      <c r="C525">
        <v>32.5</v>
      </c>
      <c r="D525">
        <v>93505</v>
      </c>
      <c r="E525">
        <v>99103</v>
      </c>
      <c r="F525">
        <v>192608</v>
      </c>
      <c r="G525">
        <v>10663</v>
      </c>
      <c r="H525">
        <v>56530</v>
      </c>
      <c r="I525">
        <v>3.25</v>
      </c>
    </row>
    <row r="526" spans="1:9" ht="16">
      <c r="A526" t="s">
        <v>603</v>
      </c>
      <c r="B526" t="s">
        <v>57</v>
      </c>
      <c r="C526">
        <v>39.4</v>
      </c>
      <c r="D526">
        <v>62875</v>
      </c>
      <c r="E526">
        <v>65567</v>
      </c>
      <c r="F526">
        <v>128442</v>
      </c>
      <c r="G526">
        <v>11109</v>
      </c>
      <c r="H526">
        <v>9929</v>
      </c>
      <c r="I526">
        <v>2.9</v>
      </c>
    </row>
    <row r="527" spans="1:9" ht="16">
      <c r="A527" t="s">
        <v>604</v>
      </c>
      <c r="B527" t="s">
        <v>43</v>
      </c>
      <c r="C527">
        <v>30.3</v>
      </c>
      <c r="D527">
        <v>69462</v>
      </c>
      <c r="E527">
        <v>74690</v>
      </c>
      <c r="F527">
        <v>144152</v>
      </c>
      <c r="G527">
        <v>5845</v>
      </c>
      <c r="H527">
        <v>17733</v>
      </c>
      <c r="I527">
        <v>2.39</v>
      </c>
    </row>
    <row r="528" spans="1:9" ht="16">
      <c r="A528" t="s">
        <v>605</v>
      </c>
      <c r="B528" t="s">
        <v>146</v>
      </c>
      <c r="C528">
        <v>37.700000000000003</v>
      </c>
      <c r="D528">
        <v>100914</v>
      </c>
      <c r="E528">
        <v>107036</v>
      </c>
      <c r="F528">
        <v>207950</v>
      </c>
      <c r="G528">
        <v>19040</v>
      </c>
      <c r="H528">
        <v>31863</v>
      </c>
      <c r="I528">
        <v>2.48</v>
      </c>
    </row>
    <row r="529" spans="1:9" ht="16">
      <c r="A529" t="s">
        <v>606</v>
      </c>
      <c r="B529" t="s">
        <v>39</v>
      </c>
      <c r="C529">
        <v>26.2</v>
      </c>
      <c r="D529">
        <v>89390</v>
      </c>
      <c r="E529">
        <v>100504</v>
      </c>
      <c r="F529">
        <v>189894</v>
      </c>
      <c r="G529">
        <v>9575</v>
      </c>
      <c r="H529">
        <v>16720</v>
      </c>
      <c r="I529">
        <v>2.38</v>
      </c>
    </row>
    <row r="530" spans="1:9" ht="16">
      <c r="A530" t="s">
        <v>153</v>
      </c>
      <c r="B530" t="s">
        <v>39</v>
      </c>
      <c r="C530">
        <v>35.299999999999997</v>
      </c>
      <c r="D530">
        <v>175517</v>
      </c>
      <c r="E530">
        <v>193511</v>
      </c>
      <c r="F530">
        <v>369028</v>
      </c>
      <c r="G530">
        <v>20636</v>
      </c>
      <c r="H530">
        <v>58795</v>
      </c>
      <c r="I530">
        <v>2.4700000000000002</v>
      </c>
    </row>
    <row r="531" spans="1:9" ht="16">
      <c r="A531" t="s">
        <v>607</v>
      </c>
      <c r="B531" t="s">
        <v>30</v>
      </c>
      <c r="C531">
        <v>34.200000000000003</v>
      </c>
      <c r="D531">
        <v>54407</v>
      </c>
      <c r="E531">
        <v>57619</v>
      </c>
      <c r="F531">
        <v>112026</v>
      </c>
      <c r="G531">
        <v>7587</v>
      </c>
      <c r="H531">
        <v>18884</v>
      </c>
      <c r="I531">
        <v>3.34</v>
      </c>
    </row>
    <row r="532" spans="1:9" ht="16">
      <c r="A532" t="s">
        <v>608</v>
      </c>
      <c r="B532" t="s">
        <v>57</v>
      </c>
      <c r="C532">
        <v>28.8</v>
      </c>
      <c r="D532">
        <v>91350</v>
      </c>
      <c r="E532">
        <v>84476</v>
      </c>
      <c r="F532">
        <v>175826</v>
      </c>
      <c r="G532">
        <v>7058</v>
      </c>
      <c r="H532">
        <v>26620</v>
      </c>
      <c r="I532">
        <v>2.44</v>
      </c>
    </row>
    <row r="533" spans="1:9" ht="16">
      <c r="A533" t="s">
        <v>609</v>
      </c>
      <c r="B533" t="s">
        <v>32</v>
      </c>
      <c r="C533">
        <v>33.6</v>
      </c>
      <c r="D533">
        <v>33512</v>
      </c>
      <c r="E533">
        <v>38785</v>
      </c>
      <c r="F533">
        <v>72297</v>
      </c>
      <c r="G533">
        <v>7333</v>
      </c>
      <c r="H533">
        <v>3968</v>
      </c>
      <c r="I533">
        <v>2.59</v>
      </c>
    </row>
    <row r="534" spans="1:9" ht="16">
      <c r="A534" t="s">
        <v>610</v>
      </c>
      <c r="B534" t="s">
        <v>39</v>
      </c>
      <c r="C534">
        <v>70.5</v>
      </c>
      <c r="F534">
        <v>72590</v>
      </c>
      <c r="G534">
        <v>15231</v>
      </c>
      <c r="H534">
        <v>4034</v>
      </c>
    </row>
    <row r="535" spans="1:9" ht="16">
      <c r="A535" t="s">
        <v>611</v>
      </c>
      <c r="B535" t="s">
        <v>32</v>
      </c>
      <c r="C535">
        <v>38.799999999999997</v>
      </c>
      <c r="D535">
        <v>56083</v>
      </c>
      <c r="E535">
        <v>63061</v>
      </c>
      <c r="F535">
        <v>119144</v>
      </c>
      <c r="G535">
        <v>8351</v>
      </c>
      <c r="H535">
        <v>21188</v>
      </c>
      <c r="I535">
        <v>2.93</v>
      </c>
    </row>
    <row r="536" spans="1:9" ht="16">
      <c r="A536" t="s">
        <v>612</v>
      </c>
      <c r="B536" t="s">
        <v>41</v>
      </c>
      <c r="C536">
        <v>33.1</v>
      </c>
      <c r="D536">
        <v>65482</v>
      </c>
      <c r="E536">
        <v>67977</v>
      </c>
      <c r="F536">
        <v>133459</v>
      </c>
      <c r="G536">
        <v>7261</v>
      </c>
      <c r="H536">
        <v>17949</v>
      </c>
      <c r="I536">
        <v>2.97</v>
      </c>
    </row>
    <row r="537" spans="1:9" ht="16">
      <c r="A537" t="s">
        <v>613</v>
      </c>
      <c r="B537" t="s">
        <v>30</v>
      </c>
      <c r="C537">
        <v>44.8</v>
      </c>
      <c r="D537">
        <v>65113</v>
      </c>
      <c r="E537">
        <v>64216</v>
      </c>
      <c r="F537">
        <v>129329</v>
      </c>
      <c r="G537">
        <v>6323</v>
      </c>
      <c r="H537">
        <v>25330</v>
      </c>
      <c r="I537">
        <v>2.79</v>
      </c>
    </row>
    <row r="538" spans="1:9" ht="16">
      <c r="A538" t="s">
        <v>614</v>
      </c>
      <c r="B538" t="s">
        <v>66</v>
      </c>
      <c r="C538">
        <v>36.1</v>
      </c>
      <c r="D538">
        <v>135455</v>
      </c>
      <c r="E538">
        <v>144323</v>
      </c>
      <c r="F538">
        <v>279778</v>
      </c>
      <c r="G538">
        <v>15286</v>
      </c>
      <c r="H538">
        <v>9257</v>
      </c>
      <c r="I538">
        <v>2.29</v>
      </c>
    </row>
    <row r="539" spans="1:9" ht="16">
      <c r="A539" t="s">
        <v>615</v>
      </c>
      <c r="B539" t="s">
        <v>99</v>
      </c>
      <c r="C539">
        <v>43.7</v>
      </c>
      <c r="D539">
        <v>43864</v>
      </c>
      <c r="E539">
        <v>43886</v>
      </c>
      <c r="F539">
        <v>87750</v>
      </c>
      <c r="G539">
        <v>5042</v>
      </c>
      <c r="H539">
        <v>6852</v>
      </c>
      <c r="I539">
        <v>2.71</v>
      </c>
    </row>
    <row r="540" spans="1:9" ht="16">
      <c r="A540" t="s">
        <v>616</v>
      </c>
      <c r="B540" t="s">
        <v>158</v>
      </c>
      <c r="C540">
        <v>37.1</v>
      </c>
      <c r="D540">
        <v>60879</v>
      </c>
      <c r="E540">
        <v>66378</v>
      </c>
      <c r="F540">
        <v>127257</v>
      </c>
      <c r="G540">
        <v>9608</v>
      </c>
      <c r="H540">
        <v>6711</v>
      </c>
      <c r="I540">
        <v>2.3199999999999998</v>
      </c>
    </row>
    <row r="541" spans="1:9" ht="16">
      <c r="A541" t="s">
        <v>617</v>
      </c>
      <c r="B541" t="s">
        <v>30</v>
      </c>
      <c r="C541">
        <v>41.2</v>
      </c>
      <c r="D541">
        <v>73209</v>
      </c>
      <c r="E541">
        <v>75259</v>
      </c>
      <c r="F541">
        <v>148468</v>
      </c>
      <c r="G541">
        <v>8459</v>
      </c>
      <c r="H541">
        <v>43096</v>
      </c>
      <c r="I541">
        <v>2.7</v>
      </c>
    </row>
    <row r="542" spans="1:9" ht="16">
      <c r="A542" t="s">
        <v>618</v>
      </c>
      <c r="B542" t="s">
        <v>39</v>
      </c>
      <c r="C542">
        <v>38.1</v>
      </c>
      <c r="D542">
        <v>39410</v>
      </c>
      <c r="E542">
        <v>39586</v>
      </c>
      <c r="F542">
        <v>78996</v>
      </c>
      <c r="G542">
        <v>4534</v>
      </c>
      <c r="H542">
        <v>22135</v>
      </c>
      <c r="I542">
        <v>2.61</v>
      </c>
    </row>
    <row r="543" spans="1:9" ht="16">
      <c r="A543" t="s">
        <v>619</v>
      </c>
      <c r="B543" t="s">
        <v>30</v>
      </c>
      <c r="C543">
        <v>35.5</v>
      </c>
      <c r="D543">
        <v>43156</v>
      </c>
      <c r="E543">
        <v>43937</v>
      </c>
      <c r="F543">
        <v>87093</v>
      </c>
      <c r="G543">
        <v>3025</v>
      </c>
      <c r="H543">
        <v>25410</v>
      </c>
      <c r="I543">
        <v>3.42</v>
      </c>
    </row>
    <row r="544" spans="1:9" ht="16">
      <c r="A544" t="s">
        <v>620</v>
      </c>
      <c r="B544" t="s">
        <v>99</v>
      </c>
      <c r="C544">
        <v>33.299999999999997</v>
      </c>
      <c r="D544">
        <v>42581</v>
      </c>
      <c r="E544">
        <v>41650</v>
      </c>
      <c r="F544">
        <v>84231</v>
      </c>
      <c r="G544">
        <v>2604</v>
      </c>
      <c r="H544">
        <v>20428</v>
      </c>
      <c r="I544">
        <v>3.04</v>
      </c>
    </row>
    <row r="545" spans="1:9" ht="16">
      <c r="A545" t="s">
        <v>621</v>
      </c>
      <c r="B545" t="s">
        <v>76</v>
      </c>
      <c r="C545">
        <v>43.3</v>
      </c>
      <c r="D545">
        <v>42371</v>
      </c>
      <c r="E545">
        <v>40905</v>
      </c>
      <c r="F545">
        <v>83276</v>
      </c>
      <c r="G545">
        <v>2975</v>
      </c>
      <c r="H545">
        <v>21004</v>
      </c>
      <c r="I545">
        <v>2.59</v>
      </c>
    </row>
    <row r="546" spans="1:9" ht="16">
      <c r="A546" t="s">
        <v>155</v>
      </c>
      <c r="B546" t="s">
        <v>57</v>
      </c>
      <c r="C546">
        <v>33.6</v>
      </c>
      <c r="D546">
        <v>264893</v>
      </c>
      <c r="E546">
        <v>266781</v>
      </c>
      <c r="F546">
        <v>531674</v>
      </c>
      <c r="G546">
        <v>38182</v>
      </c>
      <c r="H546">
        <v>82220</v>
      </c>
      <c r="I546">
        <v>2.4500000000000002</v>
      </c>
    </row>
    <row r="547" spans="1:9" ht="16">
      <c r="A547" t="s">
        <v>156</v>
      </c>
      <c r="B547" t="s">
        <v>125</v>
      </c>
      <c r="C547">
        <v>35</v>
      </c>
      <c r="D547">
        <v>197437</v>
      </c>
      <c r="E547">
        <v>205654</v>
      </c>
      <c r="F547">
        <v>403091</v>
      </c>
      <c r="G547">
        <v>24672</v>
      </c>
      <c r="H547">
        <v>43751</v>
      </c>
      <c r="I547">
        <v>2.37</v>
      </c>
    </row>
    <row r="548" spans="1:9" ht="16">
      <c r="A548" t="s">
        <v>622</v>
      </c>
      <c r="B548" t="s">
        <v>30</v>
      </c>
      <c r="C548">
        <v>36.200000000000003</v>
      </c>
      <c r="D548">
        <v>33190</v>
      </c>
      <c r="E548">
        <v>39103</v>
      </c>
      <c r="F548">
        <v>72293</v>
      </c>
      <c r="G548">
        <v>3397</v>
      </c>
      <c r="H548">
        <v>14686</v>
      </c>
      <c r="I548">
        <v>2.76</v>
      </c>
    </row>
    <row r="549" spans="1:9" ht="16">
      <c r="A549" t="s">
        <v>623</v>
      </c>
      <c r="B549" t="s">
        <v>117</v>
      </c>
      <c r="C549">
        <v>29.1</v>
      </c>
      <c r="D549">
        <v>47293</v>
      </c>
      <c r="E549">
        <v>51045</v>
      </c>
      <c r="F549">
        <v>98338</v>
      </c>
      <c r="G549">
        <v>3647</v>
      </c>
      <c r="H549">
        <v>4706</v>
      </c>
      <c r="I549">
        <v>2.67</v>
      </c>
    </row>
    <row r="550" spans="1:9" ht="16">
      <c r="A550" t="s">
        <v>624</v>
      </c>
      <c r="B550" t="s">
        <v>30</v>
      </c>
      <c r="C550">
        <v>33.4</v>
      </c>
      <c r="D550">
        <v>39511</v>
      </c>
      <c r="E550">
        <v>41052</v>
      </c>
      <c r="F550">
        <v>80563</v>
      </c>
      <c r="G550">
        <v>2434</v>
      </c>
      <c r="H550">
        <v>25034</v>
      </c>
      <c r="I550">
        <v>3.27</v>
      </c>
    </row>
    <row r="551" spans="1:9" ht="16">
      <c r="A551" t="s">
        <v>625</v>
      </c>
      <c r="B551" t="s">
        <v>32</v>
      </c>
      <c r="C551">
        <v>33.9</v>
      </c>
      <c r="D551">
        <v>50422</v>
      </c>
      <c r="E551">
        <v>53283</v>
      </c>
      <c r="F551">
        <v>103705</v>
      </c>
      <c r="G551">
        <v>4813</v>
      </c>
      <c r="H551">
        <v>8225</v>
      </c>
      <c r="I551">
        <v>2.59</v>
      </c>
    </row>
    <row r="552" spans="1:9" ht="16">
      <c r="A552" t="s">
        <v>626</v>
      </c>
      <c r="B552" t="s">
        <v>99</v>
      </c>
      <c r="C552">
        <v>35.4</v>
      </c>
      <c r="D552">
        <v>35376</v>
      </c>
      <c r="E552">
        <v>33773</v>
      </c>
      <c r="F552">
        <v>69149</v>
      </c>
      <c r="G552">
        <v>705</v>
      </c>
      <c r="H552">
        <v>40553</v>
      </c>
      <c r="I552">
        <v>2.85</v>
      </c>
    </row>
    <row r="553" spans="1:9" ht="16">
      <c r="A553" t="s">
        <v>626</v>
      </c>
      <c r="B553" t="s">
        <v>30</v>
      </c>
      <c r="C553">
        <v>38.5</v>
      </c>
      <c r="D553">
        <v>38599</v>
      </c>
      <c r="E553">
        <v>35911</v>
      </c>
      <c r="F553">
        <v>74510</v>
      </c>
      <c r="G553">
        <v>1440</v>
      </c>
      <c r="H553">
        <v>32752</v>
      </c>
      <c r="I553">
        <v>3.46</v>
      </c>
    </row>
    <row r="554" spans="1:9" ht="16">
      <c r="A554" t="s">
        <v>627</v>
      </c>
      <c r="B554" t="s">
        <v>30</v>
      </c>
      <c r="C554">
        <v>39.700000000000003</v>
      </c>
      <c r="D554">
        <v>36226</v>
      </c>
      <c r="E554">
        <v>40221</v>
      </c>
      <c r="F554">
        <v>76447</v>
      </c>
      <c r="G554">
        <v>2898</v>
      </c>
      <c r="H554">
        <v>16552</v>
      </c>
      <c r="I554">
        <v>2.77</v>
      </c>
    </row>
    <row r="555" spans="1:9" ht="16">
      <c r="A555" t="s">
        <v>628</v>
      </c>
      <c r="B555" t="s">
        <v>92</v>
      </c>
      <c r="C555">
        <v>41.4</v>
      </c>
      <c r="D555">
        <v>176807</v>
      </c>
      <c r="E555">
        <v>175959</v>
      </c>
      <c r="F555">
        <v>352766</v>
      </c>
      <c r="G555">
        <v>23213</v>
      </c>
      <c r="H555">
        <v>101312</v>
      </c>
      <c r="I555">
        <v>2.69</v>
      </c>
    </row>
    <row r="556" spans="1:9" ht="16">
      <c r="A556" t="s">
        <v>629</v>
      </c>
      <c r="B556" t="s">
        <v>30</v>
      </c>
      <c r="C556">
        <v>35.799999999999997</v>
      </c>
      <c r="D556">
        <v>50091</v>
      </c>
      <c r="E556">
        <v>46703</v>
      </c>
      <c r="F556">
        <v>96794</v>
      </c>
      <c r="G556">
        <v>9064</v>
      </c>
      <c r="H556">
        <v>10577</v>
      </c>
      <c r="I556">
        <v>2.9</v>
      </c>
    </row>
    <row r="557" spans="1:9" ht="16">
      <c r="A557" t="s">
        <v>630</v>
      </c>
      <c r="B557" t="s">
        <v>30</v>
      </c>
      <c r="C557">
        <v>37.799999999999997</v>
      </c>
      <c r="D557">
        <v>58379</v>
      </c>
      <c r="E557">
        <v>62890</v>
      </c>
      <c r="F557">
        <v>121269</v>
      </c>
      <c r="G557">
        <v>8103</v>
      </c>
      <c r="H557">
        <v>30592</v>
      </c>
      <c r="I557">
        <v>2.83</v>
      </c>
    </row>
    <row r="558" spans="1:9" ht="16">
      <c r="A558" t="s">
        <v>631</v>
      </c>
      <c r="B558" t="s">
        <v>146</v>
      </c>
      <c r="C558">
        <v>37.200000000000003</v>
      </c>
      <c r="D558">
        <v>82958</v>
      </c>
      <c r="E558">
        <v>89895</v>
      </c>
      <c r="F558">
        <v>172853</v>
      </c>
      <c r="G558">
        <v>12391</v>
      </c>
      <c r="H558">
        <v>21748</v>
      </c>
      <c r="I558">
        <v>2.4900000000000002</v>
      </c>
    </row>
    <row r="559" spans="1:9" ht="16">
      <c r="A559" t="s">
        <v>632</v>
      </c>
      <c r="B559" t="s">
        <v>32</v>
      </c>
      <c r="C559">
        <v>35.799999999999997</v>
      </c>
      <c r="D559">
        <v>32290</v>
      </c>
      <c r="E559">
        <v>35291</v>
      </c>
      <c r="F559">
        <v>67581</v>
      </c>
      <c r="G559">
        <v>5000</v>
      </c>
      <c r="H559">
        <v>4480</v>
      </c>
      <c r="I559">
        <v>2.7</v>
      </c>
    </row>
    <row r="560" spans="1:9" ht="16">
      <c r="A560" t="s">
        <v>633</v>
      </c>
      <c r="B560" t="s">
        <v>30</v>
      </c>
      <c r="C560">
        <v>30.6</v>
      </c>
      <c r="D560">
        <v>60989</v>
      </c>
      <c r="E560">
        <v>61247</v>
      </c>
      <c r="F560">
        <v>122236</v>
      </c>
      <c r="G560">
        <v>7484</v>
      </c>
      <c r="H560">
        <v>21959</v>
      </c>
      <c r="I560">
        <v>3.47</v>
      </c>
    </row>
    <row r="561" spans="1:9" ht="16">
      <c r="A561" t="s">
        <v>157</v>
      </c>
      <c r="B561" t="s">
        <v>61</v>
      </c>
      <c r="C561">
        <v>35.4</v>
      </c>
      <c r="D561">
        <v>222684</v>
      </c>
      <c r="E561">
        <v>230061</v>
      </c>
      <c r="F561">
        <v>452745</v>
      </c>
      <c r="G561">
        <v>54995</v>
      </c>
      <c r="H561">
        <v>38360</v>
      </c>
      <c r="I561">
        <v>2.61</v>
      </c>
    </row>
    <row r="562" spans="1:9" ht="16">
      <c r="A562" t="s">
        <v>634</v>
      </c>
      <c r="B562" t="s">
        <v>30</v>
      </c>
      <c r="C562">
        <v>32.6</v>
      </c>
      <c r="D562">
        <v>63695</v>
      </c>
      <c r="E562">
        <v>66399</v>
      </c>
      <c r="F562">
        <v>130094</v>
      </c>
      <c r="G562">
        <v>5547</v>
      </c>
      <c r="H562">
        <v>20779</v>
      </c>
      <c r="I562">
        <v>3.11</v>
      </c>
    </row>
    <row r="563" spans="1:9" ht="16">
      <c r="A563" t="s">
        <v>635</v>
      </c>
      <c r="B563" t="s">
        <v>30</v>
      </c>
      <c r="C563">
        <v>29.3</v>
      </c>
      <c r="D563">
        <v>50680</v>
      </c>
      <c r="E563">
        <v>50204</v>
      </c>
      <c r="F563">
        <v>100884</v>
      </c>
      <c r="G563">
        <v>4957</v>
      </c>
      <c r="H563">
        <v>23271</v>
      </c>
      <c r="I563">
        <v>3.52</v>
      </c>
    </row>
    <row r="564" spans="1:9" ht="16">
      <c r="A564" t="s">
        <v>636</v>
      </c>
      <c r="B564" t="s">
        <v>32</v>
      </c>
      <c r="C564">
        <v>29.3</v>
      </c>
      <c r="D564">
        <v>63452</v>
      </c>
      <c r="E564">
        <v>68890</v>
      </c>
      <c r="F564">
        <v>132342</v>
      </c>
      <c r="G564">
        <v>10716</v>
      </c>
      <c r="H564">
        <v>14235</v>
      </c>
      <c r="I564">
        <v>2.57</v>
      </c>
    </row>
    <row r="565" spans="1:9" ht="16">
      <c r="A565" t="s">
        <v>637</v>
      </c>
      <c r="B565" t="s">
        <v>48</v>
      </c>
      <c r="C565">
        <v>33.6</v>
      </c>
      <c r="D565">
        <v>35640</v>
      </c>
      <c r="E565">
        <v>39872</v>
      </c>
      <c r="F565">
        <v>75512</v>
      </c>
      <c r="G565">
        <v>6932</v>
      </c>
      <c r="H565">
        <v>5954</v>
      </c>
      <c r="I565">
        <v>2.69</v>
      </c>
    </row>
    <row r="566" spans="1:9" ht="16">
      <c r="A566" t="s">
        <v>638</v>
      </c>
      <c r="B566" t="s">
        <v>30</v>
      </c>
      <c r="C566">
        <v>47.6</v>
      </c>
      <c r="D566">
        <v>31994</v>
      </c>
      <c r="E566">
        <v>36912</v>
      </c>
      <c r="F566">
        <v>68906</v>
      </c>
      <c r="G566">
        <v>4977</v>
      </c>
      <c r="H566">
        <v>13624</v>
      </c>
      <c r="I566">
        <v>2.2200000000000002</v>
      </c>
    </row>
    <row r="567" spans="1:9" ht="16">
      <c r="A567" t="s">
        <v>639</v>
      </c>
      <c r="B567" t="s">
        <v>28</v>
      </c>
      <c r="C567">
        <v>31.4</v>
      </c>
      <c r="D567">
        <v>35093</v>
      </c>
      <c r="E567">
        <v>38909</v>
      </c>
      <c r="F567">
        <v>74002</v>
      </c>
      <c r="G567">
        <v>6974</v>
      </c>
      <c r="H567">
        <v>3210</v>
      </c>
      <c r="I567">
        <v>2.5</v>
      </c>
    </row>
    <row r="568" spans="1:9" ht="16">
      <c r="A568" t="s">
        <v>640</v>
      </c>
      <c r="B568" t="s">
        <v>76</v>
      </c>
      <c r="C568">
        <v>43.2</v>
      </c>
      <c r="D568">
        <v>64063</v>
      </c>
      <c r="E568">
        <v>71293</v>
      </c>
      <c r="F568">
        <v>135356</v>
      </c>
      <c r="G568">
        <v>7806</v>
      </c>
      <c r="H568">
        <v>18822</v>
      </c>
      <c r="I568">
        <v>2.4500000000000002</v>
      </c>
    </row>
    <row r="569" spans="1:9" ht="16">
      <c r="A569" t="s">
        <v>641</v>
      </c>
      <c r="B569" t="s">
        <v>279</v>
      </c>
      <c r="C569">
        <v>42.6</v>
      </c>
      <c r="D569">
        <v>39289</v>
      </c>
      <c r="E569">
        <v>42409</v>
      </c>
      <c r="F569">
        <v>81698</v>
      </c>
      <c r="G569">
        <v>5799</v>
      </c>
      <c r="H569">
        <v>5318</v>
      </c>
      <c r="I569">
        <v>2.4</v>
      </c>
    </row>
    <row r="570" spans="1:9" ht="16">
      <c r="A570" t="s">
        <v>146</v>
      </c>
      <c r="B570" t="s">
        <v>50</v>
      </c>
      <c r="C570">
        <v>33.799999999999997</v>
      </c>
      <c r="D570">
        <v>319705</v>
      </c>
      <c r="E570">
        <v>352523</v>
      </c>
      <c r="F570">
        <v>672228</v>
      </c>
      <c r="G570">
        <v>25963</v>
      </c>
      <c r="H570">
        <v>95117</v>
      </c>
      <c r="I570">
        <v>2.2400000000000002</v>
      </c>
    </row>
    <row r="571" spans="1:9" ht="16" hidden="1">
      <c r="A571" t="s">
        <v>642</v>
      </c>
      <c r="B571" t="s">
        <v>229</v>
      </c>
      <c r="C571">
        <v>36.200000000000003</v>
      </c>
      <c r="D571">
        <v>52235</v>
      </c>
      <c r="E571">
        <v>56572</v>
      </c>
      <c r="F571">
        <v>108807</v>
      </c>
      <c r="G571">
        <v>3493</v>
      </c>
      <c r="H571">
        <v>19967</v>
      </c>
      <c r="I571">
        <v>2.71</v>
      </c>
    </row>
    <row r="572" spans="1:9" ht="16" hidden="1">
      <c r="A572" t="s">
        <v>643</v>
      </c>
      <c r="B572" t="s">
        <v>74</v>
      </c>
      <c r="C572">
        <v>37.200000000000003</v>
      </c>
      <c r="D572">
        <v>34488</v>
      </c>
      <c r="E572">
        <v>33969</v>
      </c>
      <c r="F572">
        <v>68457</v>
      </c>
      <c r="G572">
        <v>4800</v>
      </c>
      <c r="H572">
        <v>5082</v>
      </c>
      <c r="I572">
        <v>2.42</v>
      </c>
    </row>
    <row r="573" spans="1:9" ht="16" hidden="1">
      <c r="A573" t="s">
        <v>644</v>
      </c>
      <c r="B573" t="s">
        <v>63</v>
      </c>
      <c r="C573">
        <v>32.299999999999997</v>
      </c>
      <c r="D573">
        <v>45514</v>
      </c>
      <c r="E573">
        <v>42833</v>
      </c>
      <c r="F573">
        <v>88347</v>
      </c>
      <c r="G573">
        <v>3404</v>
      </c>
      <c r="H573">
        <v>30997</v>
      </c>
      <c r="I573">
        <v>2.92</v>
      </c>
    </row>
    <row r="574" spans="1:9" ht="16" hidden="1">
      <c r="A574" t="s">
        <v>645</v>
      </c>
      <c r="B574" t="s">
        <v>109</v>
      </c>
      <c r="C574">
        <v>35.799999999999997</v>
      </c>
      <c r="D574">
        <v>36263</v>
      </c>
      <c r="E574">
        <v>35713</v>
      </c>
      <c r="F574">
        <v>71976</v>
      </c>
      <c r="G574">
        <v>3116</v>
      </c>
      <c r="H574">
        <v>4982</v>
      </c>
      <c r="I574">
        <v>2.35</v>
      </c>
    </row>
    <row r="575" spans="1:9" ht="16" hidden="1">
      <c r="A575" t="s">
        <v>646</v>
      </c>
      <c r="B575" t="s">
        <v>30</v>
      </c>
      <c r="C575">
        <v>39.799999999999997</v>
      </c>
      <c r="D575">
        <v>51629</v>
      </c>
      <c r="E575">
        <v>56860</v>
      </c>
      <c r="F575">
        <v>108489</v>
      </c>
      <c r="G575">
        <v>3800</v>
      </c>
      <c r="H575">
        <v>37038</v>
      </c>
      <c r="I575">
        <v>3.56</v>
      </c>
    </row>
    <row r="576" spans="1:9" ht="16" hidden="1">
      <c r="A576" t="s">
        <v>647</v>
      </c>
      <c r="B576" t="s">
        <v>405</v>
      </c>
      <c r="C576">
        <v>30.8</v>
      </c>
      <c r="D576">
        <v>57898</v>
      </c>
      <c r="E576">
        <v>54044</v>
      </c>
      <c r="F576">
        <v>111942</v>
      </c>
      <c r="G576">
        <v>3577</v>
      </c>
      <c r="H576">
        <v>11492</v>
      </c>
      <c r="I576">
        <v>3.46</v>
      </c>
    </row>
    <row r="577" spans="1:9" ht="16" hidden="1">
      <c r="A577" t="s">
        <v>648</v>
      </c>
      <c r="B577" t="s">
        <v>39</v>
      </c>
      <c r="C577">
        <v>39.6</v>
      </c>
      <c r="D577">
        <v>49262</v>
      </c>
      <c r="E577">
        <v>57520</v>
      </c>
      <c r="F577">
        <v>106782</v>
      </c>
      <c r="G577">
        <v>4917</v>
      </c>
      <c r="H577">
        <v>30675</v>
      </c>
      <c r="I577">
        <v>2.5299999999999998</v>
      </c>
    </row>
    <row r="578" spans="1:9" ht="16" hidden="1">
      <c r="A578" t="s">
        <v>649</v>
      </c>
      <c r="B578" t="s">
        <v>405</v>
      </c>
      <c r="C578">
        <v>30.7</v>
      </c>
      <c r="D578">
        <v>68235</v>
      </c>
      <c r="E578">
        <v>67989</v>
      </c>
      <c r="F578">
        <v>136224</v>
      </c>
      <c r="G578">
        <v>4880</v>
      </c>
      <c r="H578">
        <v>30712</v>
      </c>
      <c r="I578">
        <v>3.81</v>
      </c>
    </row>
    <row r="579" spans="1:9" ht="16" hidden="1">
      <c r="A579" t="s">
        <v>650</v>
      </c>
      <c r="B579" t="s">
        <v>76</v>
      </c>
      <c r="C579">
        <v>39.9</v>
      </c>
      <c r="D579">
        <v>37742</v>
      </c>
      <c r="E579">
        <v>44253</v>
      </c>
      <c r="F579">
        <v>81995</v>
      </c>
      <c r="G579">
        <v>4756</v>
      </c>
      <c r="H579">
        <v>6429</v>
      </c>
      <c r="I579">
        <v>2.41</v>
      </c>
    </row>
    <row r="580" spans="1:9" ht="16" hidden="1">
      <c r="A580" t="s">
        <v>651</v>
      </c>
      <c r="B580" t="s">
        <v>41</v>
      </c>
      <c r="C580">
        <v>37.799999999999997</v>
      </c>
      <c r="D580">
        <v>54866</v>
      </c>
      <c r="E580">
        <v>58251</v>
      </c>
      <c r="F580">
        <v>113117</v>
      </c>
      <c r="G580">
        <v>6512</v>
      </c>
      <c r="H580">
        <v>11361</v>
      </c>
      <c r="I580">
        <v>2.63</v>
      </c>
    </row>
    <row r="581" spans="1:9" ht="16" hidden="1">
      <c r="A581" t="s">
        <v>651</v>
      </c>
      <c r="B581" t="s">
        <v>30</v>
      </c>
      <c r="C581">
        <v>42.9</v>
      </c>
      <c r="D581">
        <v>45538</v>
      </c>
      <c r="E581">
        <v>46573</v>
      </c>
      <c r="F581">
        <v>92111</v>
      </c>
      <c r="G581">
        <v>3435</v>
      </c>
      <c r="H581">
        <v>42227</v>
      </c>
      <c r="I581">
        <v>3.27</v>
      </c>
    </row>
    <row r="582" spans="1:9" ht="16" hidden="1">
      <c r="A582" t="s">
        <v>652</v>
      </c>
      <c r="B582" t="s">
        <v>39</v>
      </c>
      <c r="C582">
        <v>38.6</v>
      </c>
      <c r="D582">
        <v>32956</v>
      </c>
      <c r="E582">
        <v>36991</v>
      </c>
      <c r="F582">
        <v>69947</v>
      </c>
      <c r="G582">
        <v>1507</v>
      </c>
      <c r="H582">
        <v>30876</v>
      </c>
      <c r="I582">
        <v>3.34</v>
      </c>
    </row>
    <row r="583" spans="1:9" ht="16" hidden="1">
      <c r="A583" t="s">
        <v>653</v>
      </c>
      <c r="B583" t="s">
        <v>30</v>
      </c>
      <c r="C583">
        <v>36.1</v>
      </c>
      <c r="D583">
        <v>44397</v>
      </c>
      <c r="E583">
        <v>43039</v>
      </c>
      <c r="F583">
        <v>87436</v>
      </c>
      <c r="G583">
        <v>2790</v>
      </c>
      <c r="H583">
        <v>17145</v>
      </c>
      <c r="I583">
        <v>3.11</v>
      </c>
    </row>
    <row r="584" spans="1:9" ht="16" hidden="1">
      <c r="A584" t="s">
        <v>159</v>
      </c>
      <c r="B584" t="s">
        <v>158</v>
      </c>
      <c r="C584">
        <v>34.6</v>
      </c>
      <c r="D584">
        <v>192354</v>
      </c>
      <c r="E584">
        <v>197601</v>
      </c>
      <c r="F584">
        <v>389955</v>
      </c>
      <c r="G584">
        <v>23978</v>
      </c>
      <c r="H584">
        <v>40270</v>
      </c>
      <c r="I584">
        <v>2.56</v>
      </c>
    </row>
    <row r="585" spans="1:9" ht="16" hidden="1">
      <c r="A585" t="s">
        <v>654</v>
      </c>
      <c r="B585" t="s">
        <v>32</v>
      </c>
      <c r="C585">
        <v>34</v>
      </c>
      <c r="D585">
        <v>55775</v>
      </c>
      <c r="E585">
        <v>48934</v>
      </c>
      <c r="F585">
        <v>104709</v>
      </c>
      <c r="G585">
        <v>7800</v>
      </c>
      <c r="H585">
        <v>9855</v>
      </c>
      <c r="I585">
        <v>2.41</v>
      </c>
    </row>
    <row r="586" spans="1:9" ht="16" hidden="1">
      <c r="A586" t="s">
        <v>655</v>
      </c>
      <c r="B586" t="s">
        <v>656</v>
      </c>
      <c r="C586">
        <v>36.4</v>
      </c>
      <c r="D586">
        <v>32680</v>
      </c>
      <c r="E586">
        <v>39277</v>
      </c>
      <c r="F586">
        <v>71957</v>
      </c>
      <c r="G586">
        <v>3063</v>
      </c>
      <c r="H586">
        <v>3336</v>
      </c>
      <c r="I586">
        <v>2.4500000000000002</v>
      </c>
    </row>
    <row r="587" spans="1:9" ht="16" hidden="1">
      <c r="A587" t="s">
        <v>655</v>
      </c>
      <c r="B587" t="s">
        <v>195</v>
      </c>
      <c r="C587">
        <v>35.5</v>
      </c>
      <c r="D587">
        <v>52346</v>
      </c>
      <c r="E587">
        <v>63601</v>
      </c>
      <c r="F587">
        <v>115947</v>
      </c>
      <c r="G587">
        <v>5908</v>
      </c>
      <c r="H587">
        <v>7401</v>
      </c>
      <c r="I587">
        <v>2.2400000000000002</v>
      </c>
    </row>
    <row r="588" spans="1:9" ht="16" hidden="1">
      <c r="A588" t="s">
        <v>657</v>
      </c>
      <c r="B588" t="s">
        <v>195</v>
      </c>
      <c r="C588">
        <v>34.700000000000003</v>
      </c>
      <c r="D588">
        <v>112520</v>
      </c>
      <c r="E588">
        <v>128712</v>
      </c>
      <c r="F588">
        <v>241232</v>
      </c>
      <c r="G588">
        <v>14521</v>
      </c>
      <c r="H588">
        <v>24302</v>
      </c>
      <c r="I588">
        <v>2.4700000000000002</v>
      </c>
    </row>
    <row r="589" spans="1:9" ht="16" hidden="1">
      <c r="A589" t="s">
        <v>658</v>
      </c>
      <c r="B589" t="s">
        <v>115</v>
      </c>
      <c r="C589">
        <v>37.700000000000003</v>
      </c>
      <c r="D589">
        <v>31982</v>
      </c>
      <c r="E589">
        <v>35868</v>
      </c>
      <c r="F589">
        <v>67850</v>
      </c>
      <c r="G589">
        <v>2732</v>
      </c>
      <c r="H589">
        <v>9477</v>
      </c>
      <c r="I589">
        <v>2.72</v>
      </c>
    </row>
    <row r="590" spans="1:9" ht="16" hidden="1">
      <c r="A590" t="s">
        <v>659</v>
      </c>
      <c r="B590" t="s">
        <v>36</v>
      </c>
      <c r="C590">
        <v>34.9</v>
      </c>
      <c r="D590">
        <v>90951</v>
      </c>
      <c r="E590">
        <v>93855</v>
      </c>
      <c r="F590">
        <v>184806</v>
      </c>
      <c r="G590">
        <v>9408</v>
      </c>
      <c r="H590">
        <v>36907</v>
      </c>
      <c r="I590">
        <v>2.4300000000000002</v>
      </c>
    </row>
    <row r="591" spans="1:9" ht="16" hidden="1">
      <c r="A591" t="s">
        <v>660</v>
      </c>
      <c r="B591" t="s">
        <v>76</v>
      </c>
      <c r="C591">
        <v>32.799999999999997</v>
      </c>
      <c r="D591">
        <v>35967</v>
      </c>
      <c r="E591">
        <v>39310</v>
      </c>
      <c r="F591">
        <v>75277</v>
      </c>
      <c r="G591">
        <v>3447</v>
      </c>
      <c r="H591">
        <v>8612</v>
      </c>
      <c r="I591">
        <v>2.65</v>
      </c>
    </row>
    <row r="592" spans="1:9" ht="16" hidden="1">
      <c r="A592" t="s">
        <v>661</v>
      </c>
      <c r="B592" t="s">
        <v>146</v>
      </c>
      <c r="C592">
        <v>34</v>
      </c>
      <c r="D592">
        <v>45147</v>
      </c>
      <c r="E592">
        <v>48553</v>
      </c>
      <c r="F592">
        <v>93700</v>
      </c>
      <c r="G592">
        <v>4705</v>
      </c>
      <c r="H592">
        <v>15717</v>
      </c>
      <c r="I592">
        <v>2.74</v>
      </c>
    </row>
    <row r="593" spans="1:9" ht="16" hidden="1">
      <c r="A593" t="s">
        <v>662</v>
      </c>
      <c r="B593" t="s">
        <v>43</v>
      </c>
      <c r="C593">
        <v>38</v>
      </c>
      <c r="D593">
        <v>96580</v>
      </c>
      <c r="E593">
        <v>104538</v>
      </c>
      <c r="F593">
        <v>201118</v>
      </c>
      <c r="G593">
        <v>4801</v>
      </c>
      <c r="H593">
        <v>61247</v>
      </c>
      <c r="I593">
        <v>2.8</v>
      </c>
    </row>
    <row r="594" spans="1:9" ht="16" hidden="1">
      <c r="A594" t="s">
        <v>663</v>
      </c>
      <c r="B594" t="s">
        <v>30</v>
      </c>
      <c r="C594">
        <v>45.5</v>
      </c>
      <c r="D594">
        <v>31960</v>
      </c>
      <c r="E594">
        <v>36006</v>
      </c>
      <c r="F594">
        <v>67966</v>
      </c>
      <c r="G594">
        <v>3171</v>
      </c>
      <c r="H594">
        <v>15532</v>
      </c>
      <c r="I594">
        <v>3</v>
      </c>
    </row>
    <row r="595" spans="1:9" ht="16" hidden="1">
      <c r="A595" t="s">
        <v>664</v>
      </c>
      <c r="B595" t="s">
        <v>66</v>
      </c>
      <c r="C595">
        <v>37.5</v>
      </c>
      <c r="D595">
        <v>30758</v>
      </c>
      <c r="E595">
        <v>33851</v>
      </c>
      <c r="F595">
        <v>64609</v>
      </c>
      <c r="G595">
        <v>3620</v>
      </c>
      <c r="H595">
        <v>1058</v>
      </c>
      <c r="I595">
        <v>2.2200000000000002</v>
      </c>
    </row>
    <row r="596" spans="1:9" ht="16" hidden="1">
      <c r="A596" t="s">
        <v>665</v>
      </c>
      <c r="B596" t="s">
        <v>30</v>
      </c>
      <c r="C596">
        <v>34.5</v>
      </c>
      <c r="D596">
        <v>33654</v>
      </c>
      <c r="E596">
        <v>33290</v>
      </c>
      <c r="F596">
        <v>66944</v>
      </c>
      <c r="G596">
        <v>4706</v>
      </c>
      <c r="H596">
        <v>18032</v>
      </c>
      <c r="I596">
        <v>2.9</v>
      </c>
    </row>
    <row r="597" spans="1:9" ht="16" hidden="1">
      <c r="A597" t="s">
        <v>666</v>
      </c>
      <c r="B597" t="s">
        <v>57</v>
      </c>
      <c r="C597">
        <v>33.4</v>
      </c>
      <c r="D597">
        <v>48298</v>
      </c>
      <c r="E597">
        <v>45847</v>
      </c>
      <c r="F597">
        <v>94145</v>
      </c>
      <c r="G597">
        <v>7182</v>
      </c>
      <c r="H597">
        <v>19326</v>
      </c>
      <c r="I597">
        <v>2.64</v>
      </c>
    </row>
  </sheetData>
  <sortState xmlns:xlrd2="http://schemas.microsoft.com/office/spreadsheetml/2017/richdata2" ref="A2:I2892">
    <sortCondition ref="A1:A2892"/>
  </sortState>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8B3AE-57E8-46CC-BFCC-640D50332340}">
  <sheetPr codeName="Sheet5"/>
  <dimension ref="A1:K51"/>
  <sheetViews>
    <sheetView workbookViewId="0">
      <selection activeCell="U13" sqref="U13"/>
    </sheetView>
  </sheetViews>
  <sheetFormatPr baseColWidth="10" defaultColWidth="8.6640625" defaultRowHeight="16"/>
  <cols>
    <col min="1" max="1" width="12.1640625" bestFit="1" customWidth="1"/>
    <col min="2" max="2" width="18.6640625" bestFit="1" customWidth="1"/>
    <col min="3" max="3" width="17.1640625" customWidth="1"/>
    <col min="4" max="4" width="8" customWidth="1"/>
    <col min="5" max="5" width="11.6640625" customWidth="1"/>
    <col min="6" max="6" width="14.83203125" bestFit="1" customWidth="1"/>
    <col min="7" max="7" width="26.6640625" customWidth="1"/>
    <col min="8" max="8" width="20.33203125" customWidth="1"/>
    <col min="9" max="9" width="10" customWidth="1"/>
    <col min="10" max="10" width="9.1640625" customWidth="1"/>
    <col min="11" max="11" width="18.6640625" customWidth="1"/>
  </cols>
  <sheetData>
    <row r="1" spans="1:11">
      <c r="A1" t="s">
        <v>160</v>
      </c>
      <c r="B1" t="s">
        <v>667</v>
      </c>
      <c r="C1" t="s">
        <v>668</v>
      </c>
      <c r="D1" t="s">
        <v>669</v>
      </c>
      <c r="E1" t="s">
        <v>670</v>
      </c>
      <c r="F1" t="s">
        <v>671</v>
      </c>
      <c r="G1" t="s">
        <v>672</v>
      </c>
      <c r="H1" t="s">
        <v>673</v>
      </c>
      <c r="I1" t="s">
        <v>674</v>
      </c>
      <c r="J1" t="s">
        <v>675</v>
      </c>
      <c r="K1" t="s">
        <v>676</v>
      </c>
    </row>
    <row r="2" spans="1:11">
      <c r="A2" t="s">
        <v>33</v>
      </c>
      <c r="B2" t="s">
        <v>677</v>
      </c>
      <c r="C2">
        <v>166</v>
      </c>
      <c r="D2">
        <v>57.9</v>
      </c>
      <c r="E2">
        <v>68.2</v>
      </c>
      <c r="F2">
        <v>62.2</v>
      </c>
      <c r="G2">
        <v>3.2</v>
      </c>
      <c r="H2">
        <v>36.1</v>
      </c>
      <c r="I2">
        <v>43.5</v>
      </c>
      <c r="J2">
        <v>82.1</v>
      </c>
      <c r="K2">
        <v>193.4</v>
      </c>
    </row>
    <row r="3" spans="1:11" hidden="1">
      <c r="A3" t="s">
        <v>140</v>
      </c>
      <c r="B3" t="s">
        <v>678</v>
      </c>
      <c r="C3">
        <v>164</v>
      </c>
      <c r="D3">
        <v>38.5</v>
      </c>
      <c r="E3">
        <v>64.599999999999994</v>
      </c>
      <c r="F3">
        <v>89.9</v>
      </c>
      <c r="G3">
        <v>7.4</v>
      </c>
      <c r="H3">
        <v>49.5</v>
      </c>
      <c r="I3">
        <v>50</v>
      </c>
      <c r="J3">
        <v>97.3</v>
      </c>
      <c r="K3">
        <v>168.7</v>
      </c>
    </row>
    <row r="4" spans="1:11" hidden="1">
      <c r="A4" t="s">
        <v>93</v>
      </c>
      <c r="B4" t="s">
        <v>679</v>
      </c>
      <c r="C4">
        <v>107.5</v>
      </c>
      <c r="D4">
        <v>52.3</v>
      </c>
      <c r="E4">
        <v>72.900000000000006</v>
      </c>
      <c r="F4">
        <v>85.8</v>
      </c>
      <c r="G4">
        <v>10</v>
      </c>
      <c r="H4">
        <v>41.6</v>
      </c>
      <c r="I4">
        <v>37.1</v>
      </c>
      <c r="J4">
        <v>95.3</v>
      </c>
      <c r="K4">
        <v>166</v>
      </c>
    </row>
    <row r="5" spans="1:11" hidden="1">
      <c r="A5" t="s">
        <v>141</v>
      </c>
      <c r="B5" t="s">
        <v>678</v>
      </c>
      <c r="C5">
        <v>151.1</v>
      </c>
      <c r="D5">
        <v>52.5</v>
      </c>
      <c r="E5">
        <v>66.8</v>
      </c>
      <c r="F5">
        <v>85.1</v>
      </c>
      <c r="G5">
        <v>7.5</v>
      </c>
      <c r="H5">
        <v>38.5</v>
      </c>
      <c r="I5">
        <v>49.1</v>
      </c>
      <c r="J5">
        <v>95.5</v>
      </c>
      <c r="K5">
        <v>177.4</v>
      </c>
    </row>
    <row r="6" spans="1:11">
      <c r="A6" t="s">
        <v>47</v>
      </c>
      <c r="B6" t="s">
        <v>678</v>
      </c>
      <c r="C6">
        <v>146.1</v>
      </c>
      <c r="D6">
        <v>60.3</v>
      </c>
      <c r="E6">
        <v>68.2</v>
      </c>
      <c r="F6">
        <v>76.8</v>
      </c>
      <c r="G6">
        <v>6.8</v>
      </c>
      <c r="H6">
        <v>34.700000000000003</v>
      </c>
      <c r="I6">
        <v>39.299999999999997</v>
      </c>
      <c r="J6">
        <v>97.1</v>
      </c>
      <c r="K6">
        <v>190.3</v>
      </c>
    </row>
    <row r="7" spans="1:11">
      <c r="A7" t="s">
        <v>29</v>
      </c>
      <c r="B7" t="s">
        <v>680</v>
      </c>
      <c r="C7">
        <v>176.5</v>
      </c>
      <c r="D7">
        <v>35.9</v>
      </c>
      <c r="E7">
        <v>67</v>
      </c>
      <c r="F7">
        <v>71.099999999999994</v>
      </c>
      <c r="G7">
        <v>2.5</v>
      </c>
      <c r="H7">
        <v>41.4</v>
      </c>
      <c r="I7">
        <v>45</v>
      </c>
      <c r="J7">
        <v>89.7</v>
      </c>
      <c r="K7">
        <v>184.9</v>
      </c>
    </row>
    <row r="8" spans="1:11" hidden="1">
      <c r="A8" t="s">
        <v>147</v>
      </c>
      <c r="B8" t="s">
        <v>681</v>
      </c>
      <c r="C8">
        <v>177.8</v>
      </c>
      <c r="D8">
        <v>45.9</v>
      </c>
      <c r="E8">
        <v>71</v>
      </c>
      <c r="F8">
        <v>78.900000000000006</v>
      </c>
      <c r="G8">
        <v>4.7</v>
      </c>
      <c r="H8">
        <v>42.6</v>
      </c>
      <c r="I8">
        <v>32.6</v>
      </c>
      <c r="J8">
        <v>91.7</v>
      </c>
      <c r="K8">
        <v>197.4</v>
      </c>
    </row>
    <row r="9" spans="1:11">
      <c r="A9" t="s">
        <v>45</v>
      </c>
      <c r="B9" t="s">
        <v>682</v>
      </c>
      <c r="C9">
        <v>145.69999999999999</v>
      </c>
      <c r="D9">
        <v>61.5</v>
      </c>
      <c r="E9">
        <v>73.099999999999994</v>
      </c>
      <c r="F9">
        <v>67.5</v>
      </c>
      <c r="G9">
        <v>2.9</v>
      </c>
      <c r="H9">
        <v>37.1</v>
      </c>
      <c r="I9">
        <v>48.2</v>
      </c>
      <c r="J9">
        <v>72.099999999999994</v>
      </c>
      <c r="K9">
        <v>182</v>
      </c>
    </row>
    <row r="10" spans="1:11">
      <c r="A10" t="s">
        <v>1</v>
      </c>
      <c r="B10" t="s">
        <v>683</v>
      </c>
      <c r="C10">
        <v>138.30000000000001</v>
      </c>
      <c r="D10">
        <v>60.1</v>
      </c>
      <c r="E10">
        <v>72.7</v>
      </c>
      <c r="F10">
        <v>83.1</v>
      </c>
      <c r="G10">
        <v>7.7</v>
      </c>
      <c r="H10">
        <v>44.5</v>
      </c>
      <c r="I10">
        <v>30.3</v>
      </c>
      <c r="J10">
        <v>71.7</v>
      </c>
      <c r="K10">
        <v>179.9</v>
      </c>
    </row>
    <row r="11" spans="1:11" hidden="1">
      <c r="A11" t="s">
        <v>137</v>
      </c>
      <c r="B11" t="s">
        <v>678</v>
      </c>
      <c r="C11">
        <v>133.1</v>
      </c>
      <c r="D11">
        <v>50.3</v>
      </c>
      <c r="E11">
        <v>67.7</v>
      </c>
      <c r="F11">
        <v>75.099999999999994</v>
      </c>
      <c r="G11">
        <v>4.5999999999999996</v>
      </c>
      <c r="H11">
        <v>27.1</v>
      </c>
      <c r="I11">
        <v>47.1</v>
      </c>
      <c r="J11">
        <v>90.6</v>
      </c>
      <c r="K11">
        <v>178.6</v>
      </c>
    </row>
    <row r="12" spans="1:11" hidden="1">
      <c r="A12" t="s">
        <v>130</v>
      </c>
      <c r="B12" t="s">
        <v>682</v>
      </c>
      <c r="C12">
        <v>128.80000000000001</v>
      </c>
      <c r="D12">
        <v>34.299999999999997</v>
      </c>
      <c r="E12">
        <v>70.2</v>
      </c>
      <c r="F12">
        <v>72.900000000000006</v>
      </c>
      <c r="G12">
        <v>3.4</v>
      </c>
      <c r="H12">
        <v>40.4</v>
      </c>
      <c r="I12">
        <v>48.2</v>
      </c>
      <c r="J12">
        <v>78</v>
      </c>
      <c r="K12">
        <v>159.6</v>
      </c>
    </row>
    <row r="13" spans="1:11">
      <c r="A13" t="s">
        <v>146</v>
      </c>
      <c r="B13" t="s">
        <v>684</v>
      </c>
      <c r="C13">
        <v>144.5</v>
      </c>
      <c r="D13">
        <v>39.700000000000003</v>
      </c>
      <c r="E13">
        <v>70.099999999999994</v>
      </c>
      <c r="F13">
        <v>80</v>
      </c>
      <c r="G13">
        <v>6.6</v>
      </c>
      <c r="H13">
        <v>41.2</v>
      </c>
      <c r="I13">
        <v>42.1</v>
      </c>
      <c r="J13">
        <v>81.599999999999994</v>
      </c>
      <c r="K13">
        <v>169.6</v>
      </c>
    </row>
    <row r="14" spans="1:11">
      <c r="A14" t="s">
        <v>40</v>
      </c>
      <c r="B14" t="s">
        <v>685</v>
      </c>
      <c r="C14">
        <v>112.5</v>
      </c>
      <c r="D14">
        <v>47.2</v>
      </c>
      <c r="E14">
        <v>63.4</v>
      </c>
      <c r="F14">
        <v>72.8</v>
      </c>
      <c r="G14">
        <v>6.2</v>
      </c>
      <c r="H14">
        <v>42.8</v>
      </c>
      <c r="I14">
        <v>39.1</v>
      </c>
      <c r="J14">
        <v>85.7</v>
      </c>
      <c r="K14">
        <v>161.69999999999999</v>
      </c>
    </row>
    <row r="15" spans="1:11" hidden="1">
      <c r="A15" t="s">
        <v>521</v>
      </c>
      <c r="B15" t="s">
        <v>686</v>
      </c>
      <c r="C15">
        <v>147</v>
      </c>
      <c r="D15">
        <v>60.9</v>
      </c>
      <c r="E15">
        <v>68.3</v>
      </c>
      <c r="F15">
        <v>72.3</v>
      </c>
      <c r="G15">
        <v>5.6</v>
      </c>
      <c r="H15">
        <v>34.9</v>
      </c>
      <c r="I15">
        <v>30.4</v>
      </c>
      <c r="J15">
        <v>83.9</v>
      </c>
      <c r="K15">
        <v>194</v>
      </c>
    </row>
    <row r="16" spans="1:11" hidden="1">
      <c r="A16" t="s">
        <v>73</v>
      </c>
      <c r="B16" t="s">
        <v>687</v>
      </c>
      <c r="C16">
        <v>144.4</v>
      </c>
      <c r="D16">
        <v>52.5</v>
      </c>
      <c r="E16">
        <v>69</v>
      </c>
      <c r="F16">
        <v>71.2</v>
      </c>
      <c r="G16">
        <v>4.3</v>
      </c>
      <c r="H16">
        <v>35.700000000000003</v>
      </c>
      <c r="I16">
        <v>44.2</v>
      </c>
      <c r="J16">
        <v>56.3</v>
      </c>
      <c r="K16">
        <v>171.6</v>
      </c>
    </row>
    <row r="17" spans="1:11">
      <c r="A17" t="s">
        <v>64</v>
      </c>
      <c r="B17" t="s">
        <v>688</v>
      </c>
      <c r="C17">
        <v>141.80000000000001</v>
      </c>
      <c r="D17">
        <v>33.9</v>
      </c>
      <c r="E17">
        <v>65.3</v>
      </c>
      <c r="F17">
        <v>72.8</v>
      </c>
      <c r="G17">
        <v>3.3</v>
      </c>
      <c r="H17">
        <v>41.7</v>
      </c>
      <c r="I17">
        <v>50.8</v>
      </c>
      <c r="J17">
        <v>66.099999999999994</v>
      </c>
      <c r="K17">
        <v>156.5</v>
      </c>
    </row>
    <row r="18" spans="1:11" hidden="1">
      <c r="A18" t="s">
        <v>258</v>
      </c>
      <c r="B18" t="s">
        <v>686</v>
      </c>
      <c r="C18">
        <v>139.1</v>
      </c>
      <c r="D18">
        <v>53.3</v>
      </c>
      <c r="E18">
        <v>69.2</v>
      </c>
      <c r="F18">
        <v>70.8</v>
      </c>
      <c r="G18">
        <v>4.3</v>
      </c>
      <c r="H18">
        <v>35.799999999999997</v>
      </c>
      <c r="I18">
        <v>35.299999999999997</v>
      </c>
      <c r="J18">
        <v>84</v>
      </c>
      <c r="K18">
        <v>185.2</v>
      </c>
    </row>
    <row r="19" spans="1:11" hidden="1">
      <c r="A19" t="s">
        <v>153</v>
      </c>
      <c r="B19" t="s">
        <v>685</v>
      </c>
      <c r="C19">
        <v>151.1</v>
      </c>
      <c r="D19">
        <v>54.2</v>
      </c>
      <c r="E19">
        <v>66.8</v>
      </c>
      <c r="F19">
        <v>70.599999999999994</v>
      </c>
      <c r="G19">
        <v>3.2</v>
      </c>
      <c r="H19">
        <v>36.5</v>
      </c>
      <c r="I19">
        <v>32.5</v>
      </c>
      <c r="J19">
        <v>84.7</v>
      </c>
      <c r="K19">
        <v>192.3</v>
      </c>
    </row>
    <row r="20" spans="1:11" hidden="1">
      <c r="A20" t="s">
        <v>134</v>
      </c>
      <c r="B20" t="s">
        <v>689</v>
      </c>
      <c r="C20">
        <v>152.4</v>
      </c>
      <c r="D20">
        <v>42.6</v>
      </c>
      <c r="E20">
        <v>71.099999999999994</v>
      </c>
      <c r="F20">
        <v>70.099999999999994</v>
      </c>
      <c r="G20">
        <v>3.6</v>
      </c>
      <c r="H20">
        <v>32.6</v>
      </c>
      <c r="I20">
        <v>31.4</v>
      </c>
      <c r="J20">
        <v>89.6</v>
      </c>
      <c r="K20">
        <v>192.7</v>
      </c>
    </row>
    <row r="21" spans="1:11">
      <c r="A21" t="s">
        <v>38</v>
      </c>
      <c r="B21" t="s">
        <v>678</v>
      </c>
      <c r="C21">
        <v>131.69999999999999</v>
      </c>
      <c r="D21">
        <v>46.4</v>
      </c>
      <c r="E21">
        <v>61.3</v>
      </c>
      <c r="F21">
        <v>75.7</v>
      </c>
      <c r="G21">
        <v>7.1</v>
      </c>
      <c r="H21">
        <v>57</v>
      </c>
      <c r="I21">
        <v>67.7</v>
      </c>
      <c r="J21">
        <v>95.5</v>
      </c>
      <c r="K21">
        <v>143.9</v>
      </c>
    </row>
    <row r="22" spans="1:11" hidden="1">
      <c r="A22" t="s">
        <v>119</v>
      </c>
      <c r="B22" t="s">
        <v>690</v>
      </c>
      <c r="C22">
        <v>148.4</v>
      </c>
      <c r="D22">
        <v>51.5</v>
      </c>
      <c r="E22">
        <v>63.8</v>
      </c>
      <c r="F22">
        <v>66.7</v>
      </c>
      <c r="G22">
        <v>3.7</v>
      </c>
      <c r="H22">
        <v>39</v>
      </c>
      <c r="I22">
        <v>37.4</v>
      </c>
      <c r="J22">
        <v>83</v>
      </c>
      <c r="K22">
        <v>183.6</v>
      </c>
    </row>
    <row r="23" spans="1:11" hidden="1">
      <c r="A23" t="s">
        <v>116</v>
      </c>
      <c r="B23" t="s">
        <v>691</v>
      </c>
      <c r="C23">
        <v>157.69999999999999</v>
      </c>
      <c r="D23">
        <v>43.9</v>
      </c>
      <c r="E23">
        <v>71.599999999999994</v>
      </c>
      <c r="F23">
        <v>66.599999999999994</v>
      </c>
      <c r="G23">
        <v>3.3</v>
      </c>
      <c r="H23">
        <v>35.700000000000003</v>
      </c>
      <c r="I23">
        <v>29.3</v>
      </c>
      <c r="J23">
        <v>49.5</v>
      </c>
      <c r="K23">
        <v>182.8</v>
      </c>
    </row>
    <row r="24" spans="1:11" hidden="1">
      <c r="A24" t="s">
        <v>70</v>
      </c>
      <c r="B24" t="s">
        <v>692</v>
      </c>
      <c r="C24">
        <v>135.30000000000001</v>
      </c>
      <c r="D24">
        <v>50.5</v>
      </c>
      <c r="E24">
        <v>70.7</v>
      </c>
      <c r="F24">
        <v>65.900000000000006</v>
      </c>
      <c r="G24">
        <v>4.0999999999999996</v>
      </c>
      <c r="H24">
        <v>31.3</v>
      </c>
      <c r="I24">
        <v>29.9</v>
      </c>
      <c r="J24">
        <v>71.3</v>
      </c>
      <c r="K24">
        <v>185.1</v>
      </c>
    </row>
    <row r="25" spans="1:11" hidden="1">
      <c r="A25" t="s">
        <v>129</v>
      </c>
      <c r="B25" t="s">
        <v>685</v>
      </c>
      <c r="C25">
        <v>144.69999999999999</v>
      </c>
      <c r="D25">
        <v>50.5</v>
      </c>
      <c r="E25">
        <v>60.7</v>
      </c>
      <c r="F25">
        <v>65.599999999999994</v>
      </c>
      <c r="G25">
        <v>3.1</v>
      </c>
      <c r="H25">
        <v>36.200000000000003</v>
      </c>
      <c r="I25">
        <v>34.700000000000003</v>
      </c>
      <c r="J25">
        <v>87.2</v>
      </c>
      <c r="K25">
        <v>185.6</v>
      </c>
    </row>
    <row r="26" spans="1:11" hidden="1">
      <c r="A26" t="s">
        <v>72</v>
      </c>
      <c r="B26" t="s">
        <v>677</v>
      </c>
      <c r="C26">
        <v>165.1</v>
      </c>
      <c r="D26">
        <v>48.3</v>
      </c>
      <c r="E26">
        <v>66.400000000000006</v>
      </c>
      <c r="F26">
        <v>65.599999999999994</v>
      </c>
      <c r="G26">
        <v>3.1</v>
      </c>
      <c r="H26">
        <v>34.9</v>
      </c>
      <c r="I26">
        <v>41.3</v>
      </c>
      <c r="J26">
        <v>81.900000000000006</v>
      </c>
      <c r="K26">
        <v>189.4</v>
      </c>
    </row>
    <row r="27" spans="1:11" hidden="1">
      <c r="A27" t="s">
        <v>110</v>
      </c>
      <c r="B27" t="s">
        <v>693</v>
      </c>
      <c r="C27">
        <v>148.1</v>
      </c>
      <c r="D27">
        <v>66.5</v>
      </c>
      <c r="E27">
        <v>73.7</v>
      </c>
      <c r="F27">
        <v>63.7</v>
      </c>
      <c r="G27">
        <v>3.4</v>
      </c>
      <c r="H27">
        <v>27.3</v>
      </c>
      <c r="I27">
        <v>27</v>
      </c>
      <c r="J27">
        <v>51.6</v>
      </c>
      <c r="K27">
        <v>197.7</v>
      </c>
    </row>
    <row r="28" spans="1:11" hidden="1">
      <c r="A28" t="s">
        <v>104</v>
      </c>
      <c r="B28" t="s">
        <v>694</v>
      </c>
      <c r="C28">
        <v>152.4</v>
      </c>
      <c r="D28">
        <v>44.6</v>
      </c>
      <c r="E28">
        <v>53.7</v>
      </c>
      <c r="F28">
        <v>63.5</v>
      </c>
      <c r="G28">
        <v>3.3</v>
      </c>
      <c r="H28">
        <v>27.4</v>
      </c>
      <c r="I28">
        <v>51.8</v>
      </c>
      <c r="J28">
        <v>57.4</v>
      </c>
      <c r="K28">
        <v>166</v>
      </c>
    </row>
    <row r="29" spans="1:11" hidden="1">
      <c r="A29" t="s">
        <v>155</v>
      </c>
      <c r="B29" t="s">
        <v>695</v>
      </c>
      <c r="C29">
        <v>134.80000000000001</v>
      </c>
      <c r="D29">
        <v>45.6</v>
      </c>
      <c r="E29">
        <v>61.3</v>
      </c>
      <c r="F29">
        <v>63.2</v>
      </c>
      <c r="G29">
        <v>3.5</v>
      </c>
      <c r="H29">
        <v>27.3</v>
      </c>
      <c r="I29">
        <v>28</v>
      </c>
      <c r="J29">
        <v>72.7</v>
      </c>
      <c r="K29">
        <v>183.3</v>
      </c>
    </row>
    <row r="30" spans="1:11" hidden="1">
      <c r="A30" t="s">
        <v>131</v>
      </c>
      <c r="B30" t="s">
        <v>695</v>
      </c>
      <c r="C30">
        <v>162.69999999999999</v>
      </c>
      <c r="D30">
        <v>46.5</v>
      </c>
      <c r="E30">
        <v>67.2</v>
      </c>
      <c r="F30">
        <v>62.7</v>
      </c>
      <c r="G30">
        <v>3.7</v>
      </c>
      <c r="H30">
        <v>33</v>
      </c>
      <c r="I30">
        <v>57.6</v>
      </c>
      <c r="J30">
        <v>53.8</v>
      </c>
      <c r="K30">
        <v>168.3</v>
      </c>
    </row>
    <row r="31" spans="1:11" hidden="1">
      <c r="A31" t="s">
        <v>555</v>
      </c>
      <c r="B31" t="s">
        <v>696</v>
      </c>
      <c r="C31">
        <v>160.5</v>
      </c>
      <c r="D31">
        <v>65.400000000000006</v>
      </c>
      <c r="E31">
        <v>68.400000000000006</v>
      </c>
      <c r="F31">
        <v>62.3</v>
      </c>
      <c r="G31">
        <v>3.1</v>
      </c>
      <c r="H31">
        <v>33.9</v>
      </c>
      <c r="I31">
        <v>61.7</v>
      </c>
      <c r="J31">
        <v>66.5</v>
      </c>
      <c r="K31">
        <v>179.1</v>
      </c>
    </row>
    <row r="32" spans="1:11">
      <c r="A32" t="s">
        <v>43</v>
      </c>
      <c r="B32" t="s">
        <v>697</v>
      </c>
      <c r="C32">
        <v>105.3</v>
      </c>
      <c r="D32">
        <v>49.1</v>
      </c>
      <c r="E32">
        <v>62.6</v>
      </c>
      <c r="F32">
        <v>100</v>
      </c>
      <c r="G32">
        <v>14.9</v>
      </c>
      <c r="H32">
        <v>43.6</v>
      </c>
      <c r="I32">
        <v>58.4</v>
      </c>
      <c r="J32">
        <v>79.7</v>
      </c>
      <c r="K32">
        <v>132.6</v>
      </c>
    </row>
    <row r="33" spans="1:11" hidden="1">
      <c r="A33" t="s">
        <v>138</v>
      </c>
      <c r="B33" t="s">
        <v>677</v>
      </c>
      <c r="C33">
        <v>153.69999999999999</v>
      </c>
      <c r="D33">
        <v>52.2</v>
      </c>
      <c r="E33">
        <v>67.900000000000006</v>
      </c>
      <c r="F33">
        <v>61.8</v>
      </c>
      <c r="G33">
        <v>4.7</v>
      </c>
      <c r="H33">
        <v>31.7</v>
      </c>
      <c r="I33">
        <v>43.9</v>
      </c>
      <c r="J33">
        <v>80.599999999999994</v>
      </c>
      <c r="K33">
        <v>185.6</v>
      </c>
    </row>
    <row r="34" spans="1:11" hidden="1">
      <c r="A34" t="s">
        <v>55</v>
      </c>
      <c r="B34" t="s">
        <v>698</v>
      </c>
      <c r="C34">
        <v>153.80000000000001</v>
      </c>
      <c r="D34">
        <v>64.3</v>
      </c>
      <c r="E34">
        <v>71.099999999999994</v>
      </c>
      <c r="F34">
        <v>60.8</v>
      </c>
      <c r="G34">
        <v>5.7</v>
      </c>
      <c r="H34">
        <v>28.5</v>
      </c>
      <c r="I34">
        <v>32.9</v>
      </c>
      <c r="J34">
        <v>65.099999999999994</v>
      </c>
      <c r="K34">
        <v>195.9</v>
      </c>
    </row>
    <row r="35" spans="1:11" hidden="1">
      <c r="A35" t="s">
        <v>94</v>
      </c>
      <c r="B35" t="s">
        <v>677</v>
      </c>
      <c r="C35">
        <v>160.30000000000001</v>
      </c>
      <c r="D35">
        <v>36.5</v>
      </c>
      <c r="E35">
        <v>69.5</v>
      </c>
      <c r="F35">
        <v>60.4</v>
      </c>
      <c r="G35">
        <v>2.7</v>
      </c>
      <c r="H35">
        <v>41.6</v>
      </c>
      <c r="I35">
        <v>56.8</v>
      </c>
      <c r="J35">
        <v>85.5</v>
      </c>
      <c r="K35">
        <v>171.2</v>
      </c>
    </row>
    <row r="36" spans="1:11" hidden="1">
      <c r="A36" t="s">
        <v>98</v>
      </c>
      <c r="B36" t="s">
        <v>685</v>
      </c>
      <c r="C36">
        <v>148.5</v>
      </c>
      <c r="D36">
        <v>43</v>
      </c>
      <c r="E36">
        <v>73.599999999999994</v>
      </c>
      <c r="F36">
        <v>60</v>
      </c>
      <c r="G36">
        <v>3.6</v>
      </c>
      <c r="H36">
        <v>34.6</v>
      </c>
      <c r="I36">
        <v>38.700000000000003</v>
      </c>
      <c r="J36">
        <v>87.8</v>
      </c>
      <c r="K36">
        <v>187</v>
      </c>
    </row>
    <row r="37" spans="1:11" hidden="1">
      <c r="A37" t="s">
        <v>67</v>
      </c>
      <c r="B37" t="s">
        <v>692</v>
      </c>
      <c r="C37">
        <v>170.1</v>
      </c>
      <c r="D37">
        <v>51.5</v>
      </c>
      <c r="E37">
        <v>68</v>
      </c>
      <c r="F37">
        <v>54.4</v>
      </c>
      <c r="G37">
        <v>4</v>
      </c>
      <c r="H37">
        <v>27</v>
      </c>
      <c r="I37">
        <v>43</v>
      </c>
      <c r="J37">
        <v>73.2</v>
      </c>
      <c r="K37">
        <v>193.8</v>
      </c>
    </row>
    <row r="41" spans="1:11">
      <c r="A41" s="20" t="s">
        <v>160</v>
      </c>
      <c r="B41" s="20" t="s">
        <v>699</v>
      </c>
      <c r="C41" s="20" t="s">
        <v>700</v>
      </c>
    </row>
    <row r="42" spans="1:11">
      <c r="A42" s="19" t="s">
        <v>43</v>
      </c>
      <c r="B42" s="20">
        <v>1698.6</v>
      </c>
      <c r="C42" s="20">
        <v>10</v>
      </c>
      <c r="E42" t="s">
        <v>33</v>
      </c>
    </row>
    <row r="43" spans="1:11">
      <c r="A43" s="19" t="s">
        <v>1</v>
      </c>
      <c r="B43" s="20">
        <v>1466.5</v>
      </c>
      <c r="C43" s="20">
        <v>5</v>
      </c>
      <c r="E43" t="s">
        <v>47</v>
      </c>
    </row>
    <row r="44" spans="1:11">
      <c r="A44" s="19" t="s">
        <v>146</v>
      </c>
      <c r="B44" s="20">
        <v>1404.1</v>
      </c>
      <c r="C44" s="20">
        <v>6</v>
      </c>
      <c r="E44" t="s">
        <v>29</v>
      </c>
    </row>
    <row r="45" spans="1:11">
      <c r="A45" s="19" t="s">
        <v>47</v>
      </c>
      <c r="B45" s="20">
        <v>1374.1</v>
      </c>
      <c r="C45" s="20">
        <v>2</v>
      </c>
      <c r="E45" t="s">
        <v>45</v>
      </c>
    </row>
    <row r="46" spans="1:11">
      <c r="A46" s="19" t="s">
        <v>38</v>
      </c>
      <c r="B46" s="20">
        <v>1314.1</v>
      </c>
      <c r="C46" s="20">
        <v>9</v>
      </c>
      <c r="E46" t="s">
        <v>1</v>
      </c>
    </row>
    <row r="47" spans="1:11">
      <c r="A47" s="19" t="s">
        <v>40</v>
      </c>
      <c r="B47" s="20">
        <v>1309.2</v>
      </c>
      <c r="C47" s="20">
        <v>7</v>
      </c>
      <c r="E47" t="s">
        <v>146</v>
      </c>
    </row>
    <row r="48" spans="1:11">
      <c r="A48" s="19" t="s">
        <v>64</v>
      </c>
      <c r="B48" s="20">
        <v>1284.5</v>
      </c>
      <c r="C48" s="20">
        <v>8</v>
      </c>
      <c r="E48" t="s">
        <v>40</v>
      </c>
    </row>
    <row r="49" spans="1:5">
      <c r="A49" s="19" t="s">
        <v>29</v>
      </c>
      <c r="B49" s="20">
        <v>1309.7</v>
      </c>
      <c r="C49" s="20">
        <v>3</v>
      </c>
      <c r="E49" t="s">
        <v>64</v>
      </c>
    </row>
    <row r="50" spans="1:5">
      <c r="A50" s="19" t="s">
        <v>45</v>
      </c>
      <c r="B50" s="20">
        <v>1239.5</v>
      </c>
      <c r="C50" s="20">
        <v>4</v>
      </c>
      <c r="E50" t="s">
        <v>38</v>
      </c>
    </row>
    <row r="51" spans="1:5">
      <c r="A51" s="19" t="s">
        <v>33</v>
      </c>
      <c r="B51" s="20">
        <v>1109.3</v>
      </c>
      <c r="C51" s="20">
        <v>1</v>
      </c>
      <c r="E51" t="s">
        <v>43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AD338-CAB2-4983-A32F-54A53E09F09D}">
  <sheetPr codeName="Sheet6"/>
  <dimension ref="A1:I11"/>
  <sheetViews>
    <sheetView workbookViewId="0">
      <selection activeCell="U13" sqref="U13"/>
    </sheetView>
  </sheetViews>
  <sheetFormatPr baseColWidth="10" defaultColWidth="8.6640625" defaultRowHeight="16"/>
  <cols>
    <col min="1" max="1" width="17.1640625" bestFit="1" customWidth="1"/>
    <col min="2" max="2" width="14.6640625" bestFit="1" customWidth="1"/>
    <col min="3" max="3" width="11.1640625" bestFit="1" customWidth="1"/>
    <col min="4" max="4" width="22.1640625" style="1" bestFit="1" customWidth="1"/>
    <col min="7" max="7" width="37.6640625" customWidth="1"/>
    <col min="9" max="9" width="30.6640625" customWidth="1"/>
  </cols>
  <sheetData>
    <row r="1" spans="1:9">
      <c r="A1" s="9" t="s">
        <v>161</v>
      </c>
      <c r="B1" s="10" t="s">
        <v>160</v>
      </c>
      <c r="C1" s="10" t="s">
        <v>701</v>
      </c>
      <c r="D1" s="11" t="s">
        <v>702</v>
      </c>
    </row>
    <row r="2" spans="1:9">
      <c r="A2" s="12" t="s">
        <v>43</v>
      </c>
      <c r="B2" s="13" t="s">
        <v>43</v>
      </c>
      <c r="C2" s="13" t="s">
        <v>703</v>
      </c>
      <c r="D2" s="14">
        <v>93578</v>
      </c>
    </row>
    <row r="3" spans="1:9">
      <c r="A3" s="15" t="s">
        <v>32</v>
      </c>
      <c r="B3" s="16" t="s">
        <v>33</v>
      </c>
      <c r="C3" s="16" t="s">
        <v>703</v>
      </c>
      <c r="D3" s="17">
        <v>91788</v>
      </c>
    </row>
    <row r="4" spans="1:9">
      <c r="A4" s="12" t="s">
        <v>50</v>
      </c>
      <c r="B4" s="13" t="s">
        <v>51</v>
      </c>
      <c r="C4" s="13" t="s">
        <v>703</v>
      </c>
      <c r="D4" s="14">
        <v>91132</v>
      </c>
    </row>
    <row r="5" spans="1:9">
      <c r="A5" s="15" t="s">
        <v>63</v>
      </c>
      <c r="B5" s="16" t="s">
        <v>64</v>
      </c>
      <c r="C5" s="16" t="s">
        <v>703</v>
      </c>
      <c r="D5" s="17">
        <v>87247</v>
      </c>
      <c r="G5" t="s">
        <v>704</v>
      </c>
      <c r="I5" t="s">
        <v>705</v>
      </c>
    </row>
    <row r="6" spans="1:9">
      <c r="A6" s="12" t="s">
        <v>30</v>
      </c>
      <c r="B6" s="13" t="s">
        <v>38</v>
      </c>
      <c r="C6" s="13" t="s">
        <v>703</v>
      </c>
      <c r="D6" s="14">
        <v>86929</v>
      </c>
      <c r="G6" s="1">
        <f>MAX('Salary Data'!$D$2:$D$11)</f>
        <v>93578</v>
      </c>
      <c r="I6" s="1">
        <f>MIN(D2:D11)</f>
        <v>71876</v>
      </c>
    </row>
    <row r="7" spans="1:9">
      <c r="A7" s="15" t="s">
        <v>28</v>
      </c>
      <c r="B7" s="16" t="s">
        <v>706</v>
      </c>
      <c r="C7" s="16" t="s">
        <v>703</v>
      </c>
      <c r="D7" s="17">
        <v>83670</v>
      </c>
      <c r="G7" t="str">
        <f>INDEX('Salary Data'!$B$2:$B$11, MATCH(MAX('Salary Data'!$D$2:$D$11), 'Salary Data'!$D$2:$D$11, 0))</f>
        <v>New York</v>
      </c>
      <c r="I7" t="str">
        <f>INDEX('Salary Data'!$B$2:$B$11, MATCH(MIN('Salary Data'!$D$2:$D$11), 'Salary Data'!$D$2:$D$11, 0))</f>
        <v>Miami</v>
      </c>
    </row>
    <row r="8" spans="1:9">
      <c r="A8" s="12" t="s">
        <v>36</v>
      </c>
      <c r="B8" s="13" t="s">
        <v>1</v>
      </c>
      <c r="C8" s="13" t="s">
        <v>703</v>
      </c>
      <c r="D8" s="14">
        <v>83564</v>
      </c>
    </row>
    <row r="9" spans="1:9">
      <c r="A9" s="15" t="s">
        <v>30</v>
      </c>
      <c r="B9" s="16" t="s">
        <v>47</v>
      </c>
      <c r="C9" s="16" t="s">
        <v>703</v>
      </c>
      <c r="D9" s="17">
        <v>81200</v>
      </c>
    </row>
    <row r="10" spans="1:9">
      <c r="A10" s="12" t="s">
        <v>44</v>
      </c>
      <c r="B10" s="13" t="s">
        <v>45</v>
      </c>
      <c r="C10" s="13" t="s">
        <v>703</v>
      </c>
      <c r="D10" s="14">
        <v>74092</v>
      </c>
    </row>
    <row r="11" spans="1:9">
      <c r="A11" s="2" t="s">
        <v>39</v>
      </c>
      <c r="B11" s="3" t="s">
        <v>40</v>
      </c>
      <c r="C11" s="3" t="s">
        <v>703</v>
      </c>
      <c r="D11" s="18">
        <v>71876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55810-3C4E-9A49-A61F-1BC4B9357F29}">
  <sheetPr codeName="Sheet8"/>
  <dimension ref="A1:P209"/>
  <sheetViews>
    <sheetView topLeftCell="D12" workbookViewId="0">
      <selection activeCell="U13" sqref="U13"/>
    </sheetView>
  </sheetViews>
  <sheetFormatPr baseColWidth="10" defaultColWidth="10.6640625" defaultRowHeight="16"/>
  <cols>
    <col min="1" max="1" width="13.83203125" customWidth="1"/>
    <col min="2" max="2" width="20.6640625" bestFit="1" customWidth="1"/>
    <col min="3" max="3" width="12.83203125" hidden="1" customWidth="1"/>
    <col min="4" max="4" width="18.5" customWidth="1"/>
    <col min="5" max="5" width="34.83203125" customWidth="1"/>
    <col min="7" max="8" width="35.6640625" customWidth="1"/>
    <col min="9" max="9" width="88" bestFit="1" customWidth="1"/>
  </cols>
  <sheetData>
    <row r="1" spans="1:16">
      <c r="A1" t="s">
        <v>715</v>
      </c>
      <c r="B1" t="s">
        <v>160</v>
      </c>
      <c r="C1" t="s">
        <v>716</v>
      </c>
      <c r="D1" t="s">
        <v>717</v>
      </c>
      <c r="E1" t="s">
        <v>718</v>
      </c>
      <c r="G1" t="s">
        <v>902</v>
      </c>
    </row>
    <row r="2" spans="1:16" ht="16" customHeight="1">
      <c r="A2">
        <v>11</v>
      </c>
      <c r="B2" t="s">
        <v>729</v>
      </c>
      <c r="C2">
        <v>63.24</v>
      </c>
      <c r="D2">
        <v>167</v>
      </c>
      <c r="E2">
        <v>7</v>
      </c>
      <c r="G2" s="31"/>
      <c r="H2" s="31"/>
      <c r="I2" s="38"/>
      <c r="J2" s="38"/>
      <c r="K2" s="38"/>
      <c r="L2" s="38"/>
      <c r="M2" s="38"/>
      <c r="N2" s="38"/>
      <c r="O2" s="38"/>
      <c r="P2" s="38"/>
    </row>
    <row r="3" spans="1:16" hidden="1">
      <c r="A3">
        <v>2</v>
      </c>
      <c r="B3" t="s">
        <v>720</v>
      </c>
      <c r="C3">
        <v>71.66</v>
      </c>
      <c r="D3">
        <v>173</v>
      </c>
      <c r="E3">
        <v>2</v>
      </c>
    </row>
    <row r="4" spans="1:16" hidden="1">
      <c r="A4">
        <v>3</v>
      </c>
      <c r="B4" t="s">
        <v>721</v>
      </c>
      <c r="C4">
        <v>71.430000000000007</v>
      </c>
      <c r="D4">
        <v>54</v>
      </c>
      <c r="E4">
        <v>3</v>
      </c>
    </row>
    <row r="5" spans="1:16" hidden="1">
      <c r="A5">
        <v>4</v>
      </c>
      <c r="B5" t="s">
        <v>722</v>
      </c>
      <c r="C5">
        <v>69.48</v>
      </c>
      <c r="D5">
        <v>101</v>
      </c>
      <c r="E5">
        <v>4</v>
      </c>
    </row>
    <row r="6" spans="1:16" hidden="1">
      <c r="A6">
        <v>5</v>
      </c>
      <c r="B6" t="s">
        <v>723</v>
      </c>
      <c r="C6">
        <v>69.31</v>
      </c>
      <c r="D6">
        <v>76</v>
      </c>
      <c r="E6">
        <v>6</v>
      </c>
    </row>
    <row r="7" spans="1:16" hidden="1">
      <c r="A7">
        <v>6</v>
      </c>
      <c r="B7" t="s">
        <v>724</v>
      </c>
      <c r="C7">
        <v>66.790000000000006</v>
      </c>
      <c r="D7">
        <v>68</v>
      </c>
      <c r="E7">
        <v>8</v>
      </c>
    </row>
    <row r="8" spans="1:16" hidden="1">
      <c r="A8">
        <v>7</v>
      </c>
      <c r="B8" t="s">
        <v>725</v>
      </c>
      <c r="C8">
        <v>66.510000000000005</v>
      </c>
      <c r="D8">
        <v>82</v>
      </c>
      <c r="E8">
        <v>9</v>
      </c>
    </row>
    <row r="9" spans="1:16" hidden="1">
      <c r="A9">
        <v>8</v>
      </c>
      <c r="B9" t="s">
        <v>726</v>
      </c>
      <c r="C9">
        <v>64.69</v>
      </c>
      <c r="D9">
        <v>176</v>
      </c>
      <c r="E9">
        <v>5</v>
      </c>
    </row>
    <row r="10" spans="1:16" hidden="1">
      <c r="A10">
        <v>9</v>
      </c>
      <c r="B10" t="s">
        <v>727</v>
      </c>
      <c r="C10">
        <v>64.08</v>
      </c>
      <c r="D10">
        <v>121</v>
      </c>
      <c r="E10">
        <v>13</v>
      </c>
    </row>
    <row r="11" spans="1:16">
      <c r="A11">
        <v>14</v>
      </c>
      <c r="B11" t="s">
        <v>732</v>
      </c>
      <c r="C11">
        <v>61.42</v>
      </c>
      <c r="D11">
        <v>81</v>
      </c>
      <c r="E11">
        <v>16</v>
      </c>
    </row>
    <row r="12" spans="1:16">
      <c r="A12">
        <v>45</v>
      </c>
      <c r="B12" t="s">
        <v>763</v>
      </c>
      <c r="C12">
        <v>52.46</v>
      </c>
      <c r="D12">
        <v>114</v>
      </c>
      <c r="E12">
        <v>39</v>
      </c>
    </row>
    <row r="13" spans="1:16" hidden="1">
      <c r="A13">
        <v>12</v>
      </c>
      <c r="B13" t="s">
        <v>730</v>
      </c>
      <c r="C13">
        <v>62.61</v>
      </c>
      <c r="D13">
        <v>107</v>
      </c>
      <c r="E13">
        <v>14</v>
      </c>
    </row>
    <row r="14" spans="1:16">
      <c r="A14">
        <v>18</v>
      </c>
      <c r="B14" t="s">
        <v>736</v>
      </c>
      <c r="C14">
        <v>59.11</v>
      </c>
      <c r="D14">
        <v>126</v>
      </c>
      <c r="E14">
        <v>17</v>
      </c>
    </row>
    <row r="15" spans="1:16">
      <c r="A15">
        <v>13</v>
      </c>
      <c r="B15" t="s">
        <v>731</v>
      </c>
      <c r="C15">
        <v>61.7</v>
      </c>
      <c r="D15">
        <v>170</v>
      </c>
      <c r="E15">
        <v>12</v>
      </c>
    </row>
    <row r="16" spans="1:16">
      <c r="A16">
        <v>1</v>
      </c>
      <c r="B16" t="s">
        <v>719</v>
      </c>
      <c r="C16">
        <v>74.37</v>
      </c>
      <c r="D16">
        <v>145</v>
      </c>
      <c r="E16">
        <v>1</v>
      </c>
    </row>
    <row r="17" spans="1:5">
      <c r="A17">
        <v>16</v>
      </c>
      <c r="B17" t="s">
        <v>734</v>
      </c>
      <c r="C17">
        <v>60.83</v>
      </c>
      <c r="D17">
        <v>178</v>
      </c>
      <c r="E17">
        <v>11</v>
      </c>
    </row>
    <row r="18" spans="1:5" hidden="1">
      <c r="A18">
        <v>17</v>
      </c>
      <c r="B18" t="s">
        <v>735</v>
      </c>
      <c r="C18">
        <v>59.9</v>
      </c>
      <c r="D18">
        <v>63</v>
      </c>
      <c r="E18">
        <v>20</v>
      </c>
    </row>
    <row r="19" spans="1:5">
      <c r="A19">
        <v>15</v>
      </c>
      <c r="B19" t="s">
        <v>733</v>
      </c>
      <c r="C19">
        <v>61.16</v>
      </c>
      <c r="D19">
        <v>12</v>
      </c>
      <c r="E19">
        <v>22</v>
      </c>
    </row>
    <row r="20" spans="1:5" hidden="1">
      <c r="A20">
        <v>19</v>
      </c>
      <c r="B20" t="s">
        <v>737</v>
      </c>
      <c r="C20">
        <v>58.37</v>
      </c>
      <c r="D20">
        <v>115</v>
      </c>
      <c r="E20">
        <v>21</v>
      </c>
    </row>
    <row r="21" spans="1:5">
      <c r="A21">
        <v>10</v>
      </c>
      <c r="B21" t="s">
        <v>728</v>
      </c>
      <c r="C21">
        <v>63.74</v>
      </c>
      <c r="D21">
        <v>147</v>
      </c>
      <c r="E21">
        <v>10</v>
      </c>
    </row>
    <row r="22" spans="1:5" hidden="1">
      <c r="A22">
        <v>21</v>
      </c>
      <c r="B22" t="s">
        <v>739</v>
      </c>
      <c r="C22">
        <v>57.55</v>
      </c>
      <c r="D22">
        <v>26</v>
      </c>
      <c r="E22">
        <v>33</v>
      </c>
    </row>
    <row r="23" spans="1:5" hidden="1">
      <c r="A23">
        <v>22</v>
      </c>
      <c r="B23" t="s">
        <v>740</v>
      </c>
      <c r="C23">
        <v>57.22</v>
      </c>
      <c r="D23">
        <v>49</v>
      </c>
      <c r="E23">
        <v>29</v>
      </c>
    </row>
    <row r="24" spans="1:5" hidden="1">
      <c r="A24">
        <v>23</v>
      </c>
      <c r="B24" t="s">
        <v>741</v>
      </c>
      <c r="C24">
        <v>57.01</v>
      </c>
      <c r="D24">
        <v>19</v>
      </c>
      <c r="E24">
        <v>36</v>
      </c>
    </row>
    <row r="25" spans="1:5" hidden="1">
      <c r="A25">
        <v>24</v>
      </c>
      <c r="B25" t="s">
        <v>742</v>
      </c>
      <c r="C25">
        <v>56.79</v>
      </c>
      <c r="D25">
        <v>64</v>
      </c>
      <c r="E25">
        <v>27</v>
      </c>
    </row>
    <row r="26" spans="1:5" hidden="1">
      <c r="A26">
        <v>25</v>
      </c>
      <c r="B26" t="s">
        <v>743</v>
      </c>
      <c r="C26">
        <v>56.78</v>
      </c>
      <c r="D26">
        <v>60</v>
      </c>
      <c r="E26">
        <v>31</v>
      </c>
    </row>
    <row r="27" spans="1:5" hidden="1">
      <c r="A27">
        <v>26</v>
      </c>
      <c r="B27" t="s">
        <v>744</v>
      </c>
      <c r="C27">
        <v>56.29</v>
      </c>
      <c r="D27">
        <v>116</v>
      </c>
      <c r="E27">
        <v>23</v>
      </c>
    </row>
    <row r="28" spans="1:5" hidden="1">
      <c r="A28">
        <v>27</v>
      </c>
      <c r="B28" t="s">
        <v>745</v>
      </c>
      <c r="C28">
        <v>56.26</v>
      </c>
      <c r="D28">
        <v>2</v>
      </c>
      <c r="E28">
        <v>47</v>
      </c>
    </row>
    <row r="29" spans="1:5" hidden="1">
      <c r="A29">
        <v>28</v>
      </c>
      <c r="B29" t="s">
        <v>746</v>
      </c>
      <c r="C29">
        <v>56.1</v>
      </c>
      <c r="D29">
        <v>169</v>
      </c>
      <c r="E29">
        <v>19</v>
      </c>
    </row>
    <row r="30" spans="1:5" hidden="1">
      <c r="A30">
        <v>29</v>
      </c>
      <c r="B30" t="s">
        <v>747</v>
      </c>
      <c r="C30">
        <v>55.98</v>
      </c>
      <c r="D30">
        <v>117</v>
      </c>
      <c r="E30">
        <v>25</v>
      </c>
    </row>
    <row r="31" spans="1:5" hidden="1">
      <c r="A31">
        <v>30</v>
      </c>
      <c r="B31" t="s">
        <v>748</v>
      </c>
      <c r="C31">
        <v>55.89</v>
      </c>
      <c r="D31">
        <v>182</v>
      </c>
      <c r="E31">
        <v>15</v>
      </c>
    </row>
    <row r="32" spans="1:5" hidden="1">
      <c r="A32">
        <v>31</v>
      </c>
      <c r="B32" t="s">
        <v>749</v>
      </c>
      <c r="C32">
        <v>55.33</v>
      </c>
      <c r="D32">
        <v>9</v>
      </c>
      <c r="E32">
        <v>45</v>
      </c>
    </row>
    <row r="33" spans="1:5" hidden="1">
      <c r="A33">
        <v>32</v>
      </c>
      <c r="B33" t="s">
        <v>750</v>
      </c>
      <c r="C33">
        <v>54.93</v>
      </c>
      <c r="D33">
        <v>42</v>
      </c>
      <c r="E33">
        <v>38</v>
      </c>
    </row>
    <row r="34" spans="1:5" hidden="1">
      <c r="A34">
        <v>33</v>
      </c>
      <c r="B34" t="s">
        <v>751</v>
      </c>
      <c r="C34">
        <v>54.88</v>
      </c>
      <c r="D34">
        <v>112</v>
      </c>
      <c r="E34">
        <v>32</v>
      </c>
    </row>
    <row r="35" spans="1:5" hidden="1">
      <c r="A35">
        <v>34</v>
      </c>
      <c r="B35" t="s">
        <v>752</v>
      </c>
      <c r="C35">
        <v>54.33</v>
      </c>
      <c r="D35">
        <v>22</v>
      </c>
      <c r="E35">
        <v>48</v>
      </c>
    </row>
    <row r="36" spans="1:5" hidden="1">
      <c r="A36">
        <v>35</v>
      </c>
      <c r="B36" t="s">
        <v>753</v>
      </c>
      <c r="C36">
        <v>54.2</v>
      </c>
      <c r="D36">
        <v>99</v>
      </c>
      <c r="E36">
        <v>35</v>
      </c>
    </row>
    <row r="37" spans="1:5" hidden="1">
      <c r="A37">
        <v>36</v>
      </c>
      <c r="B37" t="s">
        <v>754</v>
      </c>
      <c r="C37">
        <v>54.1</v>
      </c>
      <c r="D37">
        <v>158</v>
      </c>
      <c r="E37">
        <v>26</v>
      </c>
    </row>
    <row r="38" spans="1:5" hidden="1">
      <c r="A38">
        <v>37</v>
      </c>
      <c r="B38" t="s">
        <v>755</v>
      </c>
      <c r="C38">
        <v>54.04</v>
      </c>
      <c r="D38">
        <v>52</v>
      </c>
      <c r="E38">
        <v>41</v>
      </c>
    </row>
    <row r="39" spans="1:5" hidden="1">
      <c r="A39">
        <v>38</v>
      </c>
      <c r="B39" t="s">
        <v>756</v>
      </c>
      <c r="C39">
        <v>54.03</v>
      </c>
      <c r="D39">
        <v>143</v>
      </c>
      <c r="E39">
        <v>30</v>
      </c>
    </row>
    <row r="40" spans="1:5" hidden="1">
      <c r="A40">
        <v>39</v>
      </c>
      <c r="B40" t="s">
        <v>757</v>
      </c>
      <c r="C40">
        <v>53.58</v>
      </c>
      <c r="D40">
        <v>166</v>
      </c>
      <c r="E40">
        <v>24</v>
      </c>
    </row>
    <row r="41" spans="1:5" hidden="1">
      <c r="A41">
        <v>40</v>
      </c>
      <c r="B41" t="s">
        <v>758</v>
      </c>
      <c r="C41">
        <v>53.21</v>
      </c>
      <c r="D41">
        <v>21</v>
      </c>
      <c r="E41">
        <v>51</v>
      </c>
    </row>
    <row r="42" spans="1:5" hidden="1">
      <c r="A42">
        <v>41</v>
      </c>
      <c r="B42" t="s">
        <v>759</v>
      </c>
      <c r="C42">
        <v>53.1</v>
      </c>
      <c r="D42">
        <v>55</v>
      </c>
      <c r="E42">
        <v>44</v>
      </c>
    </row>
    <row r="43" spans="1:5" hidden="1">
      <c r="A43">
        <v>42</v>
      </c>
      <c r="B43" t="s">
        <v>760</v>
      </c>
      <c r="C43">
        <v>52.91</v>
      </c>
      <c r="D43">
        <v>102</v>
      </c>
      <c r="E43">
        <v>40</v>
      </c>
    </row>
    <row r="44" spans="1:5" hidden="1">
      <c r="A44">
        <v>43</v>
      </c>
      <c r="B44" t="s">
        <v>761</v>
      </c>
      <c r="C44">
        <v>52.77</v>
      </c>
      <c r="D44">
        <v>164</v>
      </c>
      <c r="E44">
        <v>28</v>
      </c>
    </row>
    <row r="45" spans="1:5" hidden="1">
      <c r="A45">
        <v>44</v>
      </c>
      <c r="B45" t="s">
        <v>762</v>
      </c>
      <c r="C45">
        <v>52.47</v>
      </c>
      <c r="D45">
        <v>104</v>
      </c>
      <c r="E45">
        <v>43</v>
      </c>
    </row>
    <row r="46" spans="1:5">
      <c r="A46">
        <v>20</v>
      </c>
      <c r="B46" t="s">
        <v>738</v>
      </c>
      <c r="C46">
        <v>58.2</v>
      </c>
      <c r="D46">
        <v>134</v>
      </c>
      <c r="E46">
        <v>18</v>
      </c>
    </row>
    <row r="47" spans="1:5" hidden="1">
      <c r="A47">
        <v>46</v>
      </c>
      <c r="B47" t="s">
        <v>764</v>
      </c>
      <c r="C47">
        <v>52.08</v>
      </c>
      <c r="D47">
        <v>125</v>
      </c>
      <c r="E47">
        <v>37</v>
      </c>
    </row>
    <row r="48" spans="1:5" hidden="1">
      <c r="A48">
        <v>47</v>
      </c>
      <c r="B48" t="s">
        <v>765</v>
      </c>
      <c r="C48">
        <v>51.83</v>
      </c>
      <c r="D48">
        <v>62</v>
      </c>
      <c r="E48">
        <v>50</v>
      </c>
    </row>
    <row r="49" spans="1:5" hidden="1">
      <c r="A49">
        <v>48</v>
      </c>
      <c r="B49" t="s">
        <v>766</v>
      </c>
      <c r="C49">
        <v>51.82</v>
      </c>
      <c r="D49">
        <v>95</v>
      </c>
      <c r="E49">
        <v>46</v>
      </c>
    </row>
    <row r="50" spans="1:5" hidden="1">
      <c r="A50">
        <v>49</v>
      </c>
      <c r="B50" t="s">
        <v>767</v>
      </c>
      <c r="C50">
        <v>51.26</v>
      </c>
      <c r="D50">
        <v>15</v>
      </c>
      <c r="E50">
        <v>71</v>
      </c>
    </row>
    <row r="51" spans="1:5" hidden="1">
      <c r="A51">
        <v>50</v>
      </c>
      <c r="B51" t="s">
        <v>768</v>
      </c>
      <c r="C51">
        <v>51.05</v>
      </c>
      <c r="D51">
        <v>77</v>
      </c>
      <c r="E51">
        <v>52</v>
      </c>
    </row>
    <row r="52" spans="1:5" hidden="1">
      <c r="A52">
        <v>51</v>
      </c>
      <c r="B52" t="s">
        <v>769</v>
      </c>
      <c r="C52">
        <v>51.05</v>
      </c>
      <c r="D52">
        <v>168</v>
      </c>
      <c r="E52">
        <v>34</v>
      </c>
    </row>
    <row r="53" spans="1:5" hidden="1">
      <c r="A53">
        <v>52</v>
      </c>
      <c r="B53" t="s">
        <v>770</v>
      </c>
      <c r="C53">
        <v>50.7</v>
      </c>
      <c r="D53">
        <v>28</v>
      </c>
      <c r="E53">
        <v>82</v>
      </c>
    </row>
    <row r="54" spans="1:5" hidden="1">
      <c r="A54">
        <v>53</v>
      </c>
      <c r="B54" t="s">
        <v>771</v>
      </c>
      <c r="C54">
        <v>50.56</v>
      </c>
      <c r="D54">
        <v>73</v>
      </c>
      <c r="E54">
        <v>57</v>
      </c>
    </row>
    <row r="55" spans="1:5" hidden="1">
      <c r="A55">
        <v>54</v>
      </c>
      <c r="B55" t="s">
        <v>772</v>
      </c>
      <c r="C55">
        <v>50.47</v>
      </c>
      <c r="D55">
        <v>43</v>
      </c>
      <c r="E55">
        <v>69</v>
      </c>
    </row>
    <row r="56" spans="1:5" hidden="1">
      <c r="A56">
        <v>55</v>
      </c>
      <c r="B56" t="s">
        <v>773</v>
      </c>
      <c r="C56">
        <v>50.38</v>
      </c>
      <c r="D56">
        <v>10</v>
      </c>
      <c r="E56">
        <v>81</v>
      </c>
    </row>
    <row r="57" spans="1:5" hidden="1">
      <c r="A57">
        <v>56</v>
      </c>
      <c r="B57" t="s">
        <v>774</v>
      </c>
      <c r="C57">
        <v>50.21</v>
      </c>
      <c r="D57">
        <v>85</v>
      </c>
      <c r="E57">
        <v>53</v>
      </c>
    </row>
    <row r="58" spans="1:5" hidden="1">
      <c r="A58">
        <v>56</v>
      </c>
      <c r="B58" t="s">
        <v>775</v>
      </c>
      <c r="C58">
        <v>50.21</v>
      </c>
      <c r="D58">
        <v>58</v>
      </c>
      <c r="E58">
        <v>66</v>
      </c>
    </row>
    <row r="59" spans="1:5" hidden="1">
      <c r="A59">
        <v>56</v>
      </c>
      <c r="B59" t="s">
        <v>776</v>
      </c>
      <c r="C59">
        <v>50.21</v>
      </c>
      <c r="D59">
        <v>17</v>
      </c>
      <c r="E59">
        <v>88</v>
      </c>
    </row>
    <row r="60" spans="1:5" hidden="1">
      <c r="A60">
        <v>59</v>
      </c>
      <c r="B60" t="s">
        <v>777</v>
      </c>
      <c r="C60">
        <v>50.17</v>
      </c>
      <c r="D60">
        <v>70</v>
      </c>
      <c r="E60">
        <v>63</v>
      </c>
    </row>
    <row r="61" spans="1:5" hidden="1">
      <c r="A61">
        <v>60</v>
      </c>
      <c r="B61" t="s">
        <v>778</v>
      </c>
      <c r="C61">
        <v>49.93</v>
      </c>
      <c r="D61">
        <v>45</v>
      </c>
      <c r="E61">
        <v>72</v>
      </c>
    </row>
    <row r="62" spans="1:5" hidden="1">
      <c r="A62">
        <v>61</v>
      </c>
      <c r="B62" t="s">
        <v>779</v>
      </c>
      <c r="C62">
        <v>49.93</v>
      </c>
      <c r="D62">
        <v>44</v>
      </c>
      <c r="E62">
        <v>67</v>
      </c>
    </row>
    <row r="63" spans="1:5" hidden="1">
      <c r="A63">
        <v>62</v>
      </c>
      <c r="B63" t="s">
        <v>780</v>
      </c>
      <c r="C63">
        <v>49.88</v>
      </c>
      <c r="D63">
        <v>48</v>
      </c>
      <c r="E63">
        <v>74</v>
      </c>
    </row>
    <row r="64" spans="1:5" hidden="1">
      <c r="A64">
        <v>63</v>
      </c>
      <c r="B64" t="s">
        <v>781</v>
      </c>
      <c r="C64">
        <v>49.82</v>
      </c>
      <c r="D64">
        <v>24</v>
      </c>
      <c r="E64">
        <v>80</v>
      </c>
    </row>
    <row r="65" spans="1:5" hidden="1">
      <c r="A65">
        <v>64</v>
      </c>
      <c r="B65" t="s">
        <v>782</v>
      </c>
      <c r="C65">
        <v>49.78</v>
      </c>
      <c r="D65">
        <v>98</v>
      </c>
      <c r="E65">
        <v>54</v>
      </c>
    </row>
    <row r="66" spans="1:5" hidden="1">
      <c r="A66">
        <v>65</v>
      </c>
      <c r="B66" t="s">
        <v>783</v>
      </c>
      <c r="C66">
        <v>49.78</v>
      </c>
      <c r="D66">
        <v>80</v>
      </c>
      <c r="E66">
        <v>65</v>
      </c>
    </row>
    <row r="67" spans="1:5" hidden="1">
      <c r="A67">
        <v>66</v>
      </c>
      <c r="B67" t="s">
        <v>784</v>
      </c>
      <c r="C67">
        <v>49.76</v>
      </c>
      <c r="D67">
        <v>97</v>
      </c>
      <c r="E67">
        <v>60</v>
      </c>
    </row>
    <row r="68" spans="1:5" hidden="1">
      <c r="A68">
        <v>67</v>
      </c>
      <c r="B68" t="s">
        <v>785</v>
      </c>
      <c r="C68">
        <v>49.62</v>
      </c>
      <c r="D68">
        <v>72</v>
      </c>
      <c r="E68">
        <v>61</v>
      </c>
    </row>
    <row r="69" spans="1:5" hidden="1">
      <c r="A69">
        <v>68</v>
      </c>
      <c r="B69" t="s">
        <v>786</v>
      </c>
      <c r="C69">
        <v>49.58</v>
      </c>
      <c r="D69">
        <v>88</v>
      </c>
      <c r="E69">
        <v>62</v>
      </c>
    </row>
    <row r="70" spans="1:5" hidden="1">
      <c r="A70">
        <v>69</v>
      </c>
      <c r="B70" t="s">
        <v>787</v>
      </c>
      <c r="C70">
        <v>49.57</v>
      </c>
      <c r="D70">
        <v>90</v>
      </c>
      <c r="E70">
        <v>58</v>
      </c>
    </row>
    <row r="71" spans="1:5" hidden="1">
      <c r="A71">
        <v>70</v>
      </c>
      <c r="B71" t="s">
        <v>788</v>
      </c>
      <c r="C71">
        <v>49.53</v>
      </c>
      <c r="D71">
        <v>38</v>
      </c>
      <c r="E71">
        <v>78</v>
      </c>
    </row>
    <row r="72" spans="1:5" hidden="1">
      <c r="A72">
        <v>71</v>
      </c>
      <c r="B72" t="s">
        <v>789</v>
      </c>
      <c r="C72">
        <v>49.31</v>
      </c>
      <c r="D72">
        <v>1</v>
      </c>
      <c r="E72">
        <v>89</v>
      </c>
    </row>
    <row r="73" spans="1:5" hidden="1">
      <c r="A73">
        <v>72</v>
      </c>
      <c r="B73" t="s">
        <v>790</v>
      </c>
      <c r="C73">
        <v>49.17</v>
      </c>
      <c r="D73">
        <v>149</v>
      </c>
      <c r="E73">
        <v>49</v>
      </c>
    </row>
    <row r="74" spans="1:5" hidden="1">
      <c r="A74">
        <v>73</v>
      </c>
      <c r="B74" t="s">
        <v>791</v>
      </c>
      <c r="C74">
        <v>49.12</v>
      </c>
      <c r="D74">
        <v>106</v>
      </c>
      <c r="E74">
        <v>59</v>
      </c>
    </row>
    <row r="75" spans="1:5" hidden="1">
      <c r="A75">
        <v>74</v>
      </c>
      <c r="B75" t="s">
        <v>792</v>
      </c>
      <c r="C75">
        <v>49.02</v>
      </c>
      <c r="D75">
        <v>78</v>
      </c>
      <c r="E75">
        <v>70</v>
      </c>
    </row>
    <row r="76" spans="1:5" hidden="1">
      <c r="A76">
        <v>75</v>
      </c>
      <c r="B76" t="s">
        <v>793</v>
      </c>
      <c r="C76">
        <v>48.88</v>
      </c>
      <c r="D76">
        <v>103</v>
      </c>
      <c r="E76">
        <v>73</v>
      </c>
    </row>
    <row r="77" spans="1:5" hidden="1">
      <c r="A77">
        <v>76</v>
      </c>
      <c r="B77" t="s">
        <v>794</v>
      </c>
      <c r="C77">
        <v>48.63</v>
      </c>
      <c r="D77">
        <v>123</v>
      </c>
      <c r="E77">
        <v>55</v>
      </c>
    </row>
    <row r="78" spans="1:5" hidden="1">
      <c r="A78">
        <v>77</v>
      </c>
      <c r="B78" t="s">
        <v>795</v>
      </c>
      <c r="C78">
        <v>48.18</v>
      </c>
      <c r="D78">
        <v>23</v>
      </c>
      <c r="E78">
        <v>97</v>
      </c>
    </row>
    <row r="79" spans="1:5" hidden="1">
      <c r="A79">
        <v>78</v>
      </c>
      <c r="B79" t="s">
        <v>796</v>
      </c>
      <c r="C79">
        <v>47.76</v>
      </c>
      <c r="D79">
        <v>3</v>
      </c>
      <c r="E79">
        <v>122</v>
      </c>
    </row>
    <row r="80" spans="1:5" hidden="1">
      <c r="A80">
        <v>79</v>
      </c>
      <c r="B80" t="s">
        <v>797</v>
      </c>
      <c r="C80">
        <v>47.76</v>
      </c>
      <c r="D80">
        <v>140</v>
      </c>
      <c r="E80">
        <v>56</v>
      </c>
    </row>
    <row r="81" spans="1:5" hidden="1">
      <c r="A81">
        <v>80</v>
      </c>
      <c r="B81" t="s">
        <v>798</v>
      </c>
      <c r="C81">
        <v>47.72</v>
      </c>
      <c r="D81">
        <v>51</v>
      </c>
      <c r="E81">
        <v>86</v>
      </c>
    </row>
    <row r="82" spans="1:5" hidden="1">
      <c r="A82">
        <v>81</v>
      </c>
      <c r="B82" t="s">
        <v>799</v>
      </c>
      <c r="C82">
        <v>47.63</v>
      </c>
      <c r="D82">
        <v>30</v>
      </c>
      <c r="E82">
        <v>104</v>
      </c>
    </row>
    <row r="83" spans="1:5" hidden="1">
      <c r="A83">
        <v>82</v>
      </c>
      <c r="B83" t="s">
        <v>800</v>
      </c>
      <c r="C83">
        <v>47.58</v>
      </c>
      <c r="D83">
        <v>47</v>
      </c>
      <c r="E83">
        <v>87</v>
      </c>
    </row>
    <row r="84" spans="1:5" hidden="1">
      <c r="A84">
        <v>83</v>
      </c>
      <c r="B84" t="s">
        <v>801</v>
      </c>
      <c r="C84">
        <v>47.25</v>
      </c>
      <c r="D84">
        <v>113</v>
      </c>
      <c r="E84">
        <v>79</v>
      </c>
    </row>
    <row r="85" spans="1:5" hidden="1">
      <c r="A85">
        <v>84</v>
      </c>
      <c r="B85" t="s">
        <v>802</v>
      </c>
      <c r="C85">
        <v>47.16</v>
      </c>
      <c r="D85">
        <v>36</v>
      </c>
      <c r="E85">
        <v>92</v>
      </c>
    </row>
    <row r="86" spans="1:5" hidden="1">
      <c r="A86">
        <v>85</v>
      </c>
      <c r="B86" t="s">
        <v>803</v>
      </c>
      <c r="C86">
        <v>46.96</v>
      </c>
      <c r="D86">
        <v>93</v>
      </c>
      <c r="E86">
        <v>83</v>
      </c>
    </row>
    <row r="87" spans="1:5" hidden="1">
      <c r="A87">
        <v>86</v>
      </c>
      <c r="B87" t="s">
        <v>804</v>
      </c>
      <c r="C87">
        <v>46.69</v>
      </c>
      <c r="D87">
        <v>150</v>
      </c>
      <c r="E87">
        <v>64</v>
      </c>
    </row>
    <row r="88" spans="1:5" hidden="1">
      <c r="A88">
        <v>87</v>
      </c>
      <c r="B88" t="s">
        <v>805</v>
      </c>
      <c r="C88">
        <v>46.68</v>
      </c>
      <c r="D88">
        <v>40</v>
      </c>
      <c r="E88">
        <v>107</v>
      </c>
    </row>
    <row r="89" spans="1:5" hidden="1">
      <c r="A89">
        <v>88</v>
      </c>
      <c r="B89" t="s">
        <v>806</v>
      </c>
      <c r="C89">
        <v>46.64</v>
      </c>
      <c r="D89">
        <v>144</v>
      </c>
      <c r="E89">
        <v>68</v>
      </c>
    </row>
    <row r="90" spans="1:5" hidden="1">
      <c r="A90">
        <v>89</v>
      </c>
      <c r="B90" t="s">
        <v>807</v>
      </c>
      <c r="C90">
        <v>46.61</v>
      </c>
      <c r="D90">
        <v>13</v>
      </c>
      <c r="E90">
        <v>123</v>
      </c>
    </row>
    <row r="91" spans="1:5" hidden="1">
      <c r="A91">
        <v>90</v>
      </c>
      <c r="B91" t="s">
        <v>808</v>
      </c>
      <c r="C91">
        <v>46.59</v>
      </c>
      <c r="D91">
        <v>180</v>
      </c>
      <c r="E91">
        <v>42</v>
      </c>
    </row>
    <row r="92" spans="1:5" hidden="1">
      <c r="A92">
        <v>91</v>
      </c>
      <c r="B92" t="s">
        <v>809</v>
      </c>
      <c r="C92">
        <v>46.51</v>
      </c>
      <c r="D92">
        <v>20</v>
      </c>
      <c r="E92">
        <v>121</v>
      </c>
    </row>
    <row r="93" spans="1:5" hidden="1">
      <c r="A93">
        <v>92</v>
      </c>
      <c r="B93" t="s">
        <v>810</v>
      </c>
      <c r="C93">
        <v>46.46</v>
      </c>
      <c r="D93">
        <v>109</v>
      </c>
      <c r="E93">
        <v>85</v>
      </c>
    </row>
    <row r="94" spans="1:5" hidden="1">
      <c r="A94">
        <v>93</v>
      </c>
      <c r="B94" t="s">
        <v>811</v>
      </c>
      <c r="C94">
        <v>46.28</v>
      </c>
      <c r="D94">
        <v>50</v>
      </c>
      <c r="E94">
        <v>110</v>
      </c>
    </row>
    <row r="95" spans="1:5" hidden="1">
      <c r="A95">
        <v>94</v>
      </c>
      <c r="B95" t="s">
        <v>812</v>
      </c>
      <c r="C95">
        <v>46.11</v>
      </c>
      <c r="D95">
        <v>146</v>
      </c>
      <c r="E95">
        <v>76</v>
      </c>
    </row>
    <row r="96" spans="1:5" hidden="1">
      <c r="A96">
        <v>95</v>
      </c>
      <c r="B96" t="s">
        <v>813</v>
      </c>
      <c r="C96">
        <v>45.97</v>
      </c>
      <c r="D96">
        <v>61</v>
      </c>
      <c r="E96">
        <v>111</v>
      </c>
    </row>
    <row r="97" spans="1:5" hidden="1">
      <c r="A97">
        <v>96</v>
      </c>
      <c r="B97" t="s">
        <v>814</v>
      </c>
      <c r="C97">
        <v>45.94</v>
      </c>
      <c r="D97">
        <v>41</v>
      </c>
      <c r="E97">
        <v>101</v>
      </c>
    </row>
    <row r="98" spans="1:5" hidden="1">
      <c r="A98">
        <v>97</v>
      </c>
      <c r="B98" t="s">
        <v>815</v>
      </c>
      <c r="C98">
        <v>45.61</v>
      </c>
      <c r="D98">
        <v>8</v>
      </c>
      <c r="E98">
        <v>135</v>
      </c>
    </row>
    <row r="99" spans="1:5" hidden="1">
      <c r="A99">
        <v>98</v>
      </c>
      <c r="B99" t="s">
        <v>816</v>
      </c>
      <c r="C99">
        <v>45.59</v>
      </c>
      <c r="D99">
        <v>5</v>
      </c>
      <c r="E99">
        <v>144</v>
      </c>
    </row>
    <row r="100" spans="1:5" hidden="1">
      <c r="A100">
        <v>99</v>
      </c>
      <c r="B100" t="s">
        <v>817</v>
      </c>
      <c r="C100">
        <v>45.57</v>
      </c>
      <c r="D100">
        <v>18</v>
      </c>
      <c r="E100">
        <v>138</v>
      </c>
    </row>
    <row r="101" spans="1:5" hidden="1">
      <c r="A101">
        <v>100</v>
      </c>
      <c r="B101" t="s">
        <v>818</v>
      </c>
      <c r="C101">
        <v>45.45</v>
      </c>
      <c r="D101">
        <v>100</v>
      </c>
      <c r="E101">
        <v>112</v>
      </c>
    </row>
    <row r="102" spans="1:5" hidden="1">
      <c r="A102">
        <v>101</v>
      </c>
      <c r="B102" t="s">
        <v>819</v>
      </c>
      <c r="C102">
        <v>45.28</v>
      </c>
      <c r="D102">
        <v>4</v>
      </c>
      <c r="E102">
        <v>131</v>
      </c>
    </row>
    <row r="103" spans="1:5" hidden="1">
      <c r="A103">
        <v>102</v>
      </c>
      <c r="B103" t="s">
        <v>820</v>
      </c>
      <c r="C103">
        <v>45.22</v>
      </c>
      <c r="D103">
        <v>16</v>
      </c>
      <c r="E103">
        <v>125</v>
      </c>
    </row>
    <row r="104" spans="1:5" hidden="1">
      <c r="A104">
        <v>103</v>
      </c>
      <c r="B104" t="s">
        <v>821</v>
      </c>
      <c r="C104">
        <v>45.13</v>
      </c>
      <c r="D104">
        <v>34</v>
      </c>
      <c r="E104">
        <v>127</v>
      </c>
    </row>
    <row r="105" spans="1:5" hidden="1">
      <c r="A105">
        <v>104</v>
      </c>
      <c r="B105" t="s">
        <v>822</v>
      </c>
      <c r="C105">
        <v>45.02</v>
      </c>
      <c r="D105">
        <v>154</v>
      </c>
      <c r="E105">
        <v>77</v>
      </c>
    </row>
    <row r="106" spans="1:5" hidden="1">
      <c r="A106">
        <v>105</v>
      </c>
      <c r="B106" t="s">
        <v>823</v>
      </c>
      <c r="C106">
        <v>44.96</v>
      </c>
      <c r="D106">
        <v>153</v>
      </c>
      <c r="E106">
        <v>84</v>
      </c>
    </row>
    <row r="107" spans="1:5" hidden="1">
      <c r="A107">
        <v>106</v>
      </c>
      <c r="B107" t="s">
        <v>824</v>
      </c>
      <c r="C107">
        <v>44.94</v>
      </c>
      <c r="D107">
        <v>110</v>
      </c>
      <c r="E107">
        <v>94</v>
      </c>
    </row>
    <row r="108" spans="1:5" hidden="1">
      <c r="A108">
        <v>107</v>
      </c>
      <c r="B108" t="s">
        <v>825</v>
      </c>
      <c r="C108">
        <v>44.92</v>
      </c>
      <c r="D108">
        <v>67</v>
      </c>
      <c r="E108">
        <v>103</v>
      </c>
    </row>
    <row r="109" spans="1:5" hidden="1">
      <c r="A109">
        <v>108</v>
      </c>
      <c r="B109" t="s">
        <v>826</v>
      </c>
      <c r="C109">
        <v>44.87</v>
      </c>
      <c r="D109">
        <v>14</v>
      </c>
      <c r="E109">
        <v>137</v>
      </c>
    </row>
    <row r="110" spans="1:5" hidden="1">
      <c r="A110">
        <v>109</v>
      </c>
      <c r="B110" t="s">
        <v>827</v>
      </c>
      <c r="C110">
        <v>44.82</v>
      </c>
      <c r="D110">
        <v>86</v>
      </c>
      <c r="E110">
        <v>116</v>
      </c>
    </row>
    <row r="111" spans="1:5" hidden="1">
      <c r="A111">
        <v>110</v>
      </c>
      <c r="B111" t="s">
        <v>828</v>
      </c>
      <c r="C111">
        <v>44.82</v>
      </c>
      <c r="D111">
        <v>108</v>
      </c>
      <c r="E111">
        <v>109</v>
      </c>
    </row>
    <row r="112" spans="1:5" hidden="1">
      <c r="A112">
        <v>111</v>
      </c>
      <c r="B112" t="s">
        <v>829</v>
      </c>
      <c r="C112">
        <v>44.78</v>
      </c>
      <c r="D112">
        <v>87</v>
      </c>
      <c r="E112">
        <v>102</v>
      </c>
    </row>
    <row r="113" spans="1:5" hidden="1">
      <c r="A113">
        <v>112</v>
      </c>
      <c r="B113" t="s">
        <v>830</v>
      </c>
      <c r="C113">
        <v>44.68</v>
      </c>
      <c r="D113">
        <v>59</v>
      </c>
      <c r="E113">
        <v>117</v>
      </c>
    </row>
    <row r="114" spans="1:5" hidden="1">
      <c r="A114">
        <v>113</v>
      </c>
      <c r="B114" t="s">
        <v>831</v>
      </c>
      <c r="C114">
        <v>44.67</v>
      </c>
      <c r="D114">
        <v>139</v>
      </c>
      <c r="E114">
        <v>90</v>
      </c>
    </row>
    <row r="115" spans="1:5" hidden="1">
      <c r="A115">
        <v>114</v>
      </c>
      <c r="B115" t="s">
        <v>832</v>
      </c>
      <c r="C115">
        <v>44.45</v>
      </c>
      <c r="D115">
        <v>32</v>
      </c>
      <c r="E115">
        <v>146</v>
      </c>
    </row>
    <row r="116" spans="1:5" hidden="1">
      <c r="A116">
        <v>115</v>
      </c>
      <c r="B116" t="s">
        <v>833</v>
      </c>
      <c r="C116">
        <v>44.37</v>
      </c>
      <c r="D116">
        <v>37</v>
      </c>
      <c r="E116">
        <v>130</v>
      </c>
    </row>
    <row r="117" spans="1:5" hidden="1">
      <c r="A117">
        <v>116</v>
      </c>
      <c r="B117" t="s">
        <v>834</v>
      </c>
      <c r="C117">
        <v>44.3</v>
      </c>
      <c r="D117">
        <v>65</v>
      </c>
      <c r="E117">
        <v>114</v>
      </c>
    </row>
    <row r="118" spans="1:5" hidden="1">
      <c r="A118">
        <v>117</v>
      </c>
      <c r="B118" t="s">
        <v>835</v>
      </c>
      <c r="C118">
        <v>44.19</v>
      </c>
      <c r="D118">
        <v>75</v>
      </c>
      <c r="E118">
        <v>118</v>
      </c>
    </row>
    <row r="119" spans="1:5" hidden="1">
      <c r="A119">
        <v>118</v>
      </c>
      <c r="B119" t="s">
        <v>836</v>
      </c>
      <c r="C119">
        <v>44.06</v>
      </c>
      <c r="D119">
        <v>31</v>
      </c>
      <c r="E119">
        <v>142</v>
      </c>
    </row>
    <row r="120" spans="1:5" hidden="1">
      <c r="A120">
        <v>119</v>
      </c>
      <c r="B120" t="s">
        <v>837</v>
      </c>
      <c r="C120">
        <v>44.05</v>
      </c>
      <c r="D120">
        <v>172</v>
      </c>
      <c r="E120">
        <v>75</v>
      </c>
    </row>
    <row r="121" spans="1:5" hidden="1">
      <c r="A121">
        <v>120</v>
      </c>
      <c r="B121" t="s">
        <v>838</v>
      </c>
      <c r="C121">
        <v>43.91</v>
      </c>
      <c r="D121">
        <v>57</v>
      </c>
      <c r="E121">
        <v>133</v>
      </c>
    </row>
    <row r="122" spans="1:5" hidden="1">
      <c r="A122">
        <v>121</v>
      </c>
      <c r="B122" t="s">
        <v>839</v>
      </c>
      <c r="C122">
        <v>43.66</v>
      </c>
      <c r="D122">
        <v>148</v>
      </c>
      <c r="E122">
        <v>95</v>
      </c>
    </row>
    <row r="123" spans="1:5" hidden="1">
      <c r="A123">
        <v>122</v>
      </c>
      <c r="B123" t="s">
        <v>840</v>
      </c>
      <c r="C123">
        <v>43.49</v>
      </c>
      <c r="D123">
        <v>71</v>
      </c>
      <c r="E123">
        <v>139</v>
      </c>
    </row>
    <row r="124" spans="1:5" hidden="1">
      <c r="A124">
        <v>123</v>
      </c>
      <c r="B124" t="s">
        <v>841</v>
      </c>
      <c r="C124">
        <v>43.39</v>
      </c>
      <c r="D124">
        <v>135</v>
      </c>
      <c r="E124">
        <v>98</v>
      </c>
    </row>
    <row r="125" spans="1:5" hidden="1">
      <c r="A125">
        <v>124</v>
      </c>
      <c r="B125" t="s">
        <v>842</v>
      </c>
      <c r="C125">
        <v>43.37</v>
      </c>
      <c r="D125">
        <v>131</v>
      </c>
      <c r="E125">
        <v>100</v>
      </c>
    </row>
    <row r="126" spans="1:5" hidden="1">
      <c r="A126">
        <v>125</v>
      </c>
      <c r="B126" t="s">
        <v>843</v>
      </c>
      <c r="C126">
        <v>43.34</v>
      </c>
      <c r="D126">
        <v>11</v>
      </c>
      <c r="E126">
        <v>154</v>
      </c>
    </row>
    <row r="127" spans="1:5" hidden="1">
      <c r="A127">
        <v>126</v>
      </c>
      <c r="B127" t="s">
        <v>844</v>
      </c>
      <c r="C127">
        <v>43.21</v>
      </c>
      <c r="D127">
        <v>6</v>
      </c>
      <c r="E127">
        <v>169</v>
      </c>
    </row>
    <row r="128" spans="1:5" hidden="1">
      <c r="A128">
        <v>127</v>
      </c>
      <c r="B128" t="s">
        <v>845</v>
      </c>
      <c r="C128">
        <v>43.13</v>
      </c>
      <c r="D128">
        <v>133</v>
      </c>
      <c r="E128">
        <v>119</v>
      </c>
    </row>
    <row r="129" spans="1:5" hidden="1">
      <c r="A129">
        <v>128</v>
      </c>
      <c r="B129" t="s">
        <v>846</v>
      </c>
      <c r="C129">
        <v>43</v>
      </c>
      <c r="D129">
        <v>25</v>
      </c>
      <c r="E129">
        <v>153</v>
      </c>
    </row>
    <row r="130" spans="1:5" hidden="1">
      <c r="A130">
        <v>129</v>
      </c>
      <c r="B130" t="s">
        <v>847</v>
      </c>
      <c r="C130">
        <v>42.93</v>
      </c>
      <c r="D130">
        <v>119</v>
      </c>
      <c r="E130">
        <v>105</v>
      </c>
    </row>
    <row r="131" spans="1:5" hidden="1">
      <c r="A131">
        <v>130</v>
      </c>
      <c r="B131" t="s">
        <v>848</v>
      </c>
      <c r="C131">
        <v>42.8</v>
      </c>
      <c r="D131">
        <v>155</v>
      </c>
      <c r="E131">
        <v>93</v>
      </c>
    </row>
    <row r="132" spans="1:5" hidden="1">
      <c r="A132">
        <v>131</v>
      </c>
      <c r="B132" t="s">
        <v>849</v>
      </c>
      <c r="C132">
        <v>42.79</v>
      </c>
      <c r="D132">
        <v>152</v>
      </c>
      <c r="E132">
        <v>96</v>
      </c>
    </row>
    <row r="133" spans="1:5" hidden="1">
      <c r="A133">
        <v>132</v>
      </c>
      <c r="B133" t="s">
        <v>850</v>
      </c>
      <c r="C133">
        <v>42.79</v>
      </c>
      <c r="D133">
        <v>32</v>
      </c>
      <c r="E133">
        <v>151</v>
      </c>
    </row>
    <row r="134" spans="1:5" hidden="1">
      <c r="A134">
        <v>133</v>
      </c>
      <c r="B134" t="s">
        <v>851</v>
      </c>
      <c r="C134">
        <v>42.64</v>
      </c>
      <c r="D134">
        <v>142</v>
      </c>
      <c r="E134">
        <v>108</v>
      </c>
    </row>
    <row r="135" spans="1:5" hidden="1">
      <c r="A135">
        <v>134</v>
      </c>
      <c r="B135" t="s">
        <v>852</v>
      </c>
      <c r="C135">
        <v>42.48</v>
      </c>
      <c r="D135">
        <v>39</v>
      </c>
      <c r="E135">
        <v>148</v>
      </c>
    </row>
    <row r="136" spans="1:5" hidden="1">
      <c r="A136">
        <v>135</v>
      </c>
      <c r="B136" t="s">
        <v>853</v>
      </c>
      <c r="C136">
        <v>42.31</v>
      </c>
      <c r="D136">
        <v>91</v>
      </c>
      <c r="E136">
        <v>129</v>
      </c>
    </row>
    <row r="137" spans="1:5" hidden="1">
      <c r="A137">
        <v>136</v>
      </c>
      <c r="B137" t="s">
        <v>854</v>
      </c>
      <c r="C137">
        <v>42.21</v>
      </c>
      <c r="D137">
        <v>151</v>
      </c>
      <c r="E137">
        <v>113</v>
      </c>
    </row>
    <row r="138" spans="1:5" hidden="1">
      <c r="A138">
        <v>137</v>
      </c>
      <c r="B138" t="s">
        <v>855</v>
      </c>
      <c r="C138">
        <v>42.13</v>
      </c>
      <c r="D138">
        <v>130</v>
      </c>
      <c r="E138">
        <v>124</v>
      </c>
    </row>
    <row r="139" spans="1:5" hidden="1">
      <c r="A139">
        <v>138</v>
      </c>
      <c r="B139" t="s">
        <v>856</v>
      </c>
      <c r="C139">
        <v>42.13</v>
      </c>
      <c r="D139">
        <v>96</v>
      </c>
      <c r="E139">
        <v>143</v>
      </c>
    </row>
    <row r="140" spans="1:5" hidden="1">
      <c r="A140">
        <v>139</v>
      </c>
      <c r="B140" t="s">
        <v>857</v>
      </c>
      <c r="C140">
        <v>42.02</v>
      </c>
      <c r="D140">
        <v>118</v>
      </c>
      <c r="E140">
        <v>132</v>
      </c>
    </row>
    <row r="141" spans="1:5" hidden="1">
      <c r="A141">
        <v>140</v>
      </c>
      <c r="B141" t="s">
        <v>858</v>
      </c>
      <c r="C141">
        <v>42</v>
      </c>
      <c r="D141">
        <v>157</v>
      </c>
      <c r="E141">
        <v>106</v>
      </c>
    </row>
    <row r="142" spans="1:5" hidden="1">
      <c r="A142">
        <v>141</v>
      </c>
      <c r="B142" t="s">
        <v>859</v>
      </c>
      <c r="C142">
        <v>41.99</v>
      </c>
      <c r="D142">
        <v>29</v>
      </c>
      <c r="E142">
        <v>166</v>
      </c>
    </row>
    <row r="143" spans="1:5" hidden="1">
      <c r="A143">
        <v>142</v>
      </c>
      <c r="B143" t="s">
        <v>860</v>
      </c>
      <c r="C143">
        <v>41.77</v>
      </c>
      <c r="D143">
        <v>163</v>
      </c>
      <c r="E143">
        <v>99</v>
      </c>
    </row>
    <row r="144" spans="1:5" hidden="1">
      <c r="A144">
        <v>143</v>
      </c>
      <c r="B144" t="s">
        <v>861</v>
      </c>
      <c r="C144">
        <v>41.76</v>
      </c>
      <c r="D144">
        <v>138</v>
      </c>
      <c r="E144">
        <v>128</v>
      </c>
    </row>
    <row r="145" spans="1:5" hidden="1">
      <c r="A145">
        <v>144</v>
      </c>
      <c r="B145" t="s">
        <v>862</v>
      </c>
      <c r="C145">
        <v>41.73</v>
      </c>
      <c r="D145">
        <v>7</v>
      </c>
      <c r="E145">
        <v>170</v>
      </c>
    </row>
    <row r="146" spans="1:5" hidden="1">
      <c r="A146">
        <v>145</v>
      </c>
      <c r="B146" t="s">
        <v>863</v>
      </c>
      <c r="C146">
        <v>41.68</v>
      </c>
      <c r="D146">
        <v>46</v>
      </c>
      <c r="E146">
        <v>155</v>
      </c>
    </row>
    <row r="147" spans="1:5" hidden="1">
      <c r="A147">
        <v>146</v>
      </c>
      <c r="B147" t="s">
        <v>864</v>
      </c>
      <c r="C147">
        <v>41.66</v>
      </c>
      <c r="D147">
        <v>56</v>
      </c>
      <c r="E147">
        <v>165</v>
      </c>
    </row>
    <row r="148" spans="1:5" hidden="1">
      <c r="A148">
        <v>147</v>
      </c>
      <c r="B148" t="s">
        <v>865</v>
      </c>
      <c r="C148">
        <v>41.59</v>
      </c>
      <c r="D148">
        <v>53</v>
      </c>
      <c r="E148">
        <v>150</v>
      </c>
    </row>
    <row r="149" spans="1:5" hidden="1">
      <c r="A149">
        <v>148</v>
      </c>
      <c r="B149" t="s">
        <v>866</v>
      </c>
      <c r="C149">
        <v>41.37</v>
      </c>
      <c r="D149">
        <v>66</v>
      </c>
      <c r="E149">
        <v>149</v>
      </c>
    </row>
    <row r="150" spans="1:5" hidden="1">
      <c r="A150">
        <v>149</v>
      </c>
      <c r="B150" t="s">
        <v>867</v>
      </c>
      <c r="C150">
        <v>41.21</v>
      </c>
      <c r="D150">
        <v>127</v>
      </c>
      <c r="E150">
        <v>126</v>
      </c>
    </row>
    <row r="151" spans="1:5" hidden="1">
      <c r="A151">
        <v>150</v>
      </c>
      <c r="B151" t="s">
        <v>868</v>
      </c>
      <c r="C151">
        <v>40.950000000000003</v>
      </c>
      <c r="D151">
        <v>35</v>
      </c>
      <c r="E151">
        <v>174</v>
      </c>
    </row>
    <row r="152" spans="1:5" hidden="1">
      <c r="A152">
        <v>151</v>
      </c>
      <c r="B152" t="s">
        <v>869</v>
      </c>
      <c r="C152">
        <v>40.909999999999997</v>
      </c>
      <c r="D152">
        <v>89</v>
      </c>
      <c r="E152">
        <v>140</v>
      </c>
    </row>
    <row r="153" spans="1:5" hidden="1">
      <c r="A153">
        <v>152</v>
      </c>
      <c r="B153" t="s">
        <v>870</v>
      </c>
      <c r="C153">
        <v>40.83</v>
      </c>
      <c r="D153">
        <v>91</v>
      </c>
      <c r="E153">
        <v>147</v>
      </c>
    </row>
    <row r="154" spans="1:5" hidden="1">
      <c r="A154">
        <v>153</v>
      </c>
      <c r="B154" t="s">
        <v>871</v>
      </c>
      <c r="C154">
        <v>40.69</v>
      </c>
      <c r="D154">
        <v>179</v>
      </c>
      <c r="E154">
        <v>91</v>
      </c>
    </row>
    <row r="155" spans="1:5" hidden="1">
      <c r="A155">
        <v>154</v>
      </c>
      <c r="B155" t="s">
        <v>872</v>
      </c>
      <c r="C155">
        <v>40.54</v>
      </c>
      <c r="D155">
        <v>160</v>
      </c>
      <c r="E155">
        <v>120</v>
      </c>
    </row>
    <row r="156" spans="1:5" hidden="1">
      <c r="A156">
        <v>155</v>
      </c>
      <c r="B156" t="s">
        <v>873</v>
      </c>
      <c r="C156">
        <v>40.19</v>
      </c>
      <c r="D156">
        <v>122</v>
      </c>
      <c r="E156">
        <v>145</v>
      </c>
    </row>
    <row r="157" spans="1:5" hidden="1">
      <c r="A157">
        <v>156</v>
      </c>
      <c r="B157" t="s">
        <v>874</v>
      </c>
      <c r="C157">
        <v>39.83</v>
      </c>
      <c r="D157">
        <v>111</v>
      </c>
      <c r="E157">
        <v>152</v>
      </c>
    </row>
    <row r="158" spans="1:5" hidden="1">
      <c r="A158">
        <v>157</v>
      </c>
      <c r="B158" t="s">
        <v>875</v>
      </c>
      <c r="C158">
        <v>39.799999999999997</v>
      </c>
      <c r="D158">
        <v>159</v>
      </c>
      <c r="E158">
        <v>134</v>
      </c>
    </row>
    <row r="159" spans="1:5" hidden="1">
      <c r="A159">
        <v>158</v>
      </c>
      <c r="B159" t="s">
        <v>876</v>
      </c>
      <c r="C159">
        <v>39.72</v>
      </c>
      <c r="D159">
        <v>105</v>
      </c>
      <c r="E159">
        <v>156</v>
      </c>
    </row>
    <row r="160" spans="1:5" hidden="1">
      <c r="A160">
        <v>159</v>
      </c>
      <c r="B160" t="s">
        <v>877</v>
      </c>
      <c r="C160">
        <v>39.67</v>
      </c>
      <c r="D160">
        <v>74</v>
      </c>
      <c r="E160">
        <v>176</v>
      </c>
    </row>
    <row r="161" spans="1:5" hidden="1">
      <c r="A161">
        <v>160</v>
      </c>
      <c r="B161" t="s">
        <v>878</v>
      </c>
      <c r="C161">
        <v>39.46</v>
      </c>
      <c r="D161">
        <v>174</v>
      </c>
      <c r="E161">
        <v>115</v>
      </c>
    </row>
    <row r="162" spans="1:5" hidden="1">
      <c r="A162">
        <v>161</v>
      </c>
      <c r="B162" t="s">
        <v>879</v>
      </c>
      <c r="C162">
        <v>39.130000000000003</v>
      </c>
      <c r="D162">
        <v>141</v>
      </c>
      <c r="E162">
        <v>158</v>
      </c>
    </row>
    <row r="163" spans="1:5" hidden="1">
      <c r="A163">
        <v>162</v>
      </c>
      <c r="B163" t="s">
        <v>880</v>
      </c>
      <c r="C163">
        <v>39.130000000000003</v>
      </c>
      <c r="D163">
        <v>84</v>
      </c>
      <c r="E163">
        <v>172</v>
      </c>
    </row>
    <row r="164" spans="1:5" hidden="1">
      <c r="A164">
        <v>163</v>
      </c>
      <c r="B164" t="s">
        <v>881</v>
      </c>
      <c r="C164">
        <v>38.82</v>
      </c>
      <c r="D164">
        <v>82</v>
      </c>
      <c r="E164">
        <v>167</v>
      </c>
    </row>
    <row r="165" spans="1:5" hidden="1">
      <c r="A165">
        <v>164</v>
      </c>
      <c r="B165" t="s">
        <v>882</v>
      </c>
      <c r="C165">
        <v>38.520000000000003</v>
      </c>
      <c r="D165">
        <v>27</v>
      </c>
      <c r="E165">
        <v>178</v>
      </c>
    </row>
    <row r="166" spans="1:5" hidden="1">
      <c r="A166">
        <v>165</v>
      </c>
      <c r="B166" t="s">
        <v>883</v>
      </c>
      <c r="C166">
        <v>38.28</v>
      </c>
      <c r="D166">
        <v>137</v>
      </c>
      <c r="E166">
        <v>161</v>
      </c>
    </row>
    <row r="167" spans="1:5" hidden="1">
      <c r="A167">
        <v>166</v>
      </c>
      <c r="B167" t="s">
        <v>884</v>
      </c>
      <c r="C167">
        <v>38.28</v>
      </c>
      <c r="D167">
        <v>69</v>
      </c>
      <c r="E167">
        <v>171</v>
      </c>
    </row>
    <row r="168" spans="1:5" hidden="1">
      <c r="A168">
        <v>167</v>
      </c>
      <c r="B168" t="s">
        <v>885</v>
      </c>
      <c r="C168">
        <v>38.17</v>
      </c>
      <c r="D168">
        <v>128</v>
      </c>
      <c r="E168">
        <v>159</v>
      </c>
    </row>
    <row r="169" spans="1:5" hidden="1">
      <c r="A169">
        <v>168</v>
      </c>
      <c r="B169" t="s">
        <v>886</v>
      </c>
      <c r="C169">
        <v>38.03</v>
      </c>
      <c r="D169">
        <v>171</v>
      </c>
      <c r="E169">
        <v>141</v>
      </c>
    </row>
    <row r="170" spans="1:5" hidden="1">
      <c r="A170">
        <v>169</v>
      </c>
      <c r="B170" t="s">
        <v>887</v>
      </c>
      <c r="C170">
        <v>37.79</v>
      </c>
      <c r="D170">
        <v>177</v>
      </c>
      <c r="E170">
        <v>136</v>
      </c>
    </row>
    <row r="171" spans="1:5" hidden="1">
      <c r="A171">
        <v>170</v>
      </c>
      <c r="B171" t="s">
        <v>888</v>
      </c>
      <c r="C171">
        <v>37.72</v>
      </c>
      <c r="D171">
        <v>120</v>
      </c>
      <c r="E171">
        <v>172</v>
      </c>
    </row>
    <row r="172" spans="1:5" hidden="1">
      <c r="A172">
        <v>171</v>
      </c>
      <c r="B172" t="s">
        <v>889</v>
      </c>
      <c r="C172">
        <v>37.659999999999997</v>
      </c>
      <c r="D172">
        <v>132</v>
      </c>
      <c r="E172">
        <v>164</v>
      </c>
    </row>
    <row r="173" spans="1:5" hidden="1">
      <c r="A173">
        <v>172</v>
      </c>
      <c r="B173" t="s">
        <v>890</v>
      </c>
      <c r="C173">
        <v>37.17</v>
      </c>
      <c r="D173">
        <v>79</v>
      </c>
      <c r="E173">
        <v>177</v>
      </c>
    </row>
    <row r="174" spans="1:5" hidden="1">
      <c r="A174">
        <v>173</v>
      </c>
      <c r="B174" t="s">
        <v>891</v>
      </c>
      <c r="C174">
        <v>37.15</v>
      </c>
      <c r="D174">
        <v>128</v>
      </c>
      <c r="E174">
        <v>163</v>
      </c>
    </row>
    <row r="175" spans="1:5" hidden="1">
      <c r="A175">
        <v>174</v>
      </c>
      <c r="B175" t="s">
        <v>892</v>
      </c>
      <c r="C175">
        <v>36.17</v>
      </c>
      <c r="D175">
        <v>161</v>
      </c>
      <c r="E175">
        <v>160</v>
      </c>
    </row>
    <row r="176" spans="1:5" hidden="1">
      <c r="A176">
        <v>175</v>
      </c>
      <c r="B176" t="s">
        <v>893</v>
      </c>
      <c r="C176">
        <v>36.06</v>
      </c>
      <c r="D176">
        <v>165</v>
      </c>
      <c r="E176">
        <v>162</v>
      </c>
    </row>
    <row r="177" spans="1:10" hidden="1">
      <c r="A177">
        <v>176</v>
      </c>
      <c r="B177" t="s">
        <v>894</v>
      </c>
      <c r="C177">
        <v>34.630000000000003</v>
      </c>
      <c r="D177">
        <v>94</v>
      </c>
      <c r="E177">
        <v>175</v>
      </c>
    </row>
    <row r="178" spans="1:10" hidden="1">
      <c r="A178">
        <v>177</v>
      </c>
      <c r="B178" t="s">
        <v>895</v>
      </c>
      <c r="C178">
        <v>34.380000000000003</v>
      </c>
      <c r="D178">
        <v>162</v>
      </c>
      <c r="E178">
        <v>168</v>
      </c>
    </row>
    <row r="179" spans="1:10" hidden="1">
      <c r="A179">
        <v>178</v>
      </c>
      <c r="B179" t="s">
        <v>896</v>
      </c>
      <c r="C179">
        <v>33.81</v>
      </c>
      <c r="D179">
        <v>124</v>
      </c>
      <c r="E179">
        <v>182</v>
      </c>
    </row>
    <row r="180" spans="1:10" hidden="1">
      <c r="A180">
        <v>179</v>
      </c>
      <c r="B180" t="s">
        <v>897</v>
      </c>
      <c r="C180">
        <v>33.78</v>
      </c>
      <c r="D180">
        <v>156</v>
      </c>
      <c r="E180">
        <v>179</v>
      </c>
    </row>
    <row r="181" spans="1:10" hidden="1">
      <c r="A181">
        <v>180</v>
      </c>
      <c r="B181" t="s">
        <v>898</v>
      </c>
      <c r="C181">
        <v>33.4</v>
      </c>
      <c r="D181">
        <v>181</v>
      </c>
      <c r="E181">
        <v>157</v>
      </c>
    </row>
    <row r="182" spans="1:10" hidden="1">
      <c r="A182">
        <v>181</v>
      </c>
      <c r="B182" t="s">
        <v>899</v>
      </c>
      <c r="C182">
        <v>33.340000000000003</v>
      </c>
      <c r="D182">
        <v>136</v>
      </c>
      <c r="E182">
        <v>181</v>
      </c>
    </row>
    <row r="183" spans="1:10" hidden="1">
      <c r="A183">
        <v>182</v>
      </c>
      <c r="B183" t="s">
        <v>900</v>
      </c>
      <c r="C183">
        <v>31.46</v>
      </c>
      <c r="D183">
        <v>175</v>
      </c>
      <c r="E183">
        <v>180</v>
      </c>
    </row>
    <row r="186" spans="1:10">
      <c r="G186" s="169" t="s">
        <v>906</v>
      </c>
      <c r="H186" s="169"/>
      <c r="I186" s="169" t="s">
        <v>907</v>
      </c>
      <c r="J186" s="169"/>
    </row>
    <row r="187" spans="1:10" ht="17">
      <c r="G187" s="39" t="s">
        <v>910</v>
      </c>
      <c r="H187" s="39">
        <v>7.5</v>
      </c>
      <c r="I187" s="40" t="s">
        <v>914</v>
      </c>
      <c r="J187" s="40">
        <v>8.08</v>
      </c>
    </row>
    <row r="188" spans="1:10" ht="85">
      <c r="G188" s="39" t="s">
        <v>908</v>
      </c>
      <c r="H188" s="39">
        <v>3.75</v>
      </c>
      <c r="I188" s="40" t="s">
        <v>915</v>
      </c>
      <c r="J188" s="40">
        <v>8.08</v>
      </c>
    </row>
    <row r="189" spans="1:10" ht="17">
      <c r="G189" s="39" t="s">
        <v>911</v>
      </c>
      <c r="H189" s="39">
        <v>7.5</v>
      </c>
      <c r="I189" s="40" t="s">
        <v>916</v>
      </c>
      <c r="J189" s="40">
        <v>2.69</v>
      </c>
    </row>
    <row r="190" spans="1:10" ht="17">
      <c r="G190" s="39" t="s">
        <v>912</v>
      </c>
      <c r="H190" s="39">
        <v>3.75</v>
      </c>
      <c r="I190" s="40" t="s">
        <v>917</v>
      </c>
      <c r="J190" s="40">
        <v>2.69</v>
      </c>
    </row>
    <row r="191" spans="1:10" ht="17">
      <c r="G191" s="39" t="s">
        <v>913</v>
      </c>
      <c r="H191" s="39">
        <v>3.75</v>
      </c>
      <c r="I191" s="40" t="s">
        <v>918</v>
      </c>
      <c r="J191" s="40">
        <v>2.69</v>
      </c>
    </row>
    <row r="192" spans="1:10" ht="119">
      <c r="G192" s="39" t="s">
        <v>909</v>
      </c>
      <c r="H192" s="39">
        <v>3.75</v>
      </c>
      <c r="I192" s="40" t="s">
        <v>919</v>
      </c>
      <c r="J192" s="40">
        <v>2.69</v>
      </c>
    </row>
    <row r="193" spans="7:10">
      <c r="G193" s="40" t="s">
        <v>936</v>
      </c>
      <c r="H193" s="39">
        <f>SUM(H187:H192)</f>
        <v>30</v>
      </c>
      <c r="I193" s="40" t="s">
        <v>920</v>
      </c>
      <c r="J193" s="40">
        <v>2.69</v>
      </c>
    </row>
    <row r="194" spans="7:10">
      <c r="G194" s="38"/>
      <c r="H194" s="38"/>
      <c r="I194" s="40" t="s">
        <v>921</v>
      </c>
      <c r="J194" s="40">
        <v>5.38</v>
      </c>
    </row>
    <row r="195" spans="7:10">
      <c r="I195" s="40" t="s">
        <v>922</v>
      </c>
      <c r="J195" s="40">
        <v>2.69</v>
      </c>
    </row>
    <row r="196" spans="7:10">
      <c r="I196" s="40" t="s">
        <v>923</v>
      </c>
      <c r="J196" s="40">
        <v>2.69</v>
      </c>
    </row>
    <row r="197" spans="7:10">
      <c r="I197" s="40" t="s">
        <v>924</v>
      </c>
      <c r="J197" s="40">
        <v>2.69</v>
      </c>
    </row>
    <row r="198" spans="7:10">
      <c r="I198" s="40" t="s">
        <v>925</v>
      </c>
      <c r="J198" s="40">
        <v>2.69</v>
      </c>
    </row>
    <row r="199" spans="7:10">
      <c r="I199" s="40" t="s">
        <v>926</v>
      </c>
      <c r="J199" s="40">
        <v>2.69</v>
      </c>
    </row>
    <row r="200" spans="7:10">
      <c r="I200" s="40" t="s">
        <v>927</v>
      </c>
      <c r="J200" s="40">
        <v>2.69</v>
      </c>
    </row>
    <row r="201" spans="7:10">
      <c r="I201" s="40" t="s">
        <v>928</v>
      </c>
      <c r="J201" s="40">
        <v>2.69</v>
      </c>
    </row>
    <row r="202" spans="7:10">
      <c r="I202" s="40" t="s">
        <v>929</v>
      </c>
      <c r="J202" s="40">
        <v>1.35</v>
      </c>
    </row>
    <row r="203" spans="7:10">
      <c r="I203" s="40" t="s">
        <v>930</v>
      </c>
      <c r="J203" s="40">
        <v>2.69</v>
      </c>
    </row>
    <row r="204" spans="7:10">
      <c r="I204" s="40" t="s">
        <v>931</v>
      </c>
      <c r="J204" s="40">
        <v>1.35</v>
      </c>
    </row>
    <row r="205" spans="7:10">
      <c r="I205" s="40" t="s">
        <v>932</v>
      </c>
      <c r="J205" s="40">
        <v>2.69</v>
      </c>
    </row>
    <row r="206" spans="7:10">
      <c r="I206" s="40" t="s">
        <v>933</v>
      </c>
      <c r="J206" s="40">
        <v>2.69</v>
      </c>
    </row>
    <row r="207" spans="7:10">
      <c r="I207" s="40" t="s">
        <v>934</v>
      </c>
      <c r="J207" s="40">
        <v>2.69</v>
      </c>
    </row>
    <row r="208" spans="7:10">
      <c r="I208" s="40" t="s">
        <v>935</v>
      </c>
      <c r="J208" s="40">
        <v>2.69</v>
      </c>
    </row>
    <row r="209" spans="9:10">
      <c r="I209" s="40" t="s">
        <v>936</v>
      </c>
      <c r="J209" s="40">
        <f>SUM(J187:J208)</f>
        <v>69.969999999999985</v>
      </c>
    </row>
  </sheetData>
  <mergeCells count="2">
    <mergeCell ref="G186:H186"/>
    <mergeCell ref="I186:J186"/>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59140-C513-F04D-87EC-4A85EA770568}">
  <sheetPr codeName="Sheet3"/>
  <dimension ref="A1:T101"/>
  <sheetViews>
    <sheetView workbookViewId="0">
      <selection activeCell="U13" sqref="U13"/>
    </sheetView>
  </sheetViews>
  <sheetFormatPr baseColWidth="10" defaultColWidth="11" defaultRowHeight="16"/>
  <cols>
    <col min="1" max="1" width="19" bestFit="1" customWidth="1"/>
    <col min="2" max="2" width="20.1640625" bestFit="1" customWidth="1"/>
    <col min="3" max="3" width="11.33203125" customWidth="1"/>
    <col min="4" max="4" width="12" customWidth="1"/>
    <col min="5" max="5" width="8.6640625" customWidth="1"/>
    <col min="6" max="6" width="7.1640625" bestFit="1" customWidth="1"/>
    <col min="7" max="7" width="8.6640625" customWidth="1"/>
    <col min="8" max="8" width="12.6640625" customWidth="1"/>
    <col min="9" max="9" width="16.6640625" customWidth="1"/>
    <col min="10" max="10" width="9.1640625" customWidth="1"/>
    <col min="11" max="11" width="8.6640625" customWidth="1"/>
    <col min="12" max="12" width="13.1640625" customWidth="1"/>
    <col min="13" max="13" width="13.6640625" customWidth="1"/>
    <col min="14" max="14" width="7.1640625" customWidth="1"/>
    <col min="16" max="16" width="17.1640625" bestFit="1" customWidth="1"/>
    <col min="17" max="17" width="14.6640625" bestFit="1" customWidth="1"/>
    <col min="18" max="18" width="12.1640625" bestFit="1" customWidth="1"/>
    <col min="19" max="19" width="18.5" bestFit="1" customWidth="1"/>
    <col min="20" max="20" width="19.6640625" bestFit="1" customWidth="1"/>
  </cols>
  <sheetData>
    <row r="1" spans="1:20">
      <c r="A1" t="s">
        <v>7</v>
      </c>
      <c r="B1" t="s">
        <v>8</v>
      </c>
      <c r="C1" t="s">
        <v>9</v>
      </c>
      <c r="D1" t="s">
        <v>10</v>
      </c>
      <c r="E1" t="s">
        <v>11</v>
      </c>
      <c r="F1" t="s">
        <v>12</v>
      </c>
      <c r="G1" t="s">
        <v>13</v>
      </c>
      <c r="H1" t="s">
        <v>14</v>
      </c>
      <c r="I1" t="s">
        <v>15</v>
      </c>
      <c r="J1" t="s">
        <v>16</v>
      </c>
      <c r="K1" t="s">
        <v>17</v>
      </c>
      <c r="L1" t="s">
        <v>18</v>
      </c>
      <c r="M1" t="s">
        <v>19</v>
      </c>
      <c r="N1" t="s">
        <v>20</v>
      </c>
      <c r="P1" t="s">
        <v>21</v>
      </c>
      <c r="Q1" t="s">
        <v>22</v>
      </c>
      <c r="R1" t="s">
        <v>23</v>
      </c>
      <c r="S1" t="s">
        <v>24</v>
      </c>
      <c r="T1" t="s">
        <v>25</v>
      </c>
    </row>
    <row r="2" spans="1:20" hidden="1">
      <c r="A2" t="s">
        <v>26</v>
      </c>
      <c r="B2" t="s">
        <v>27</v>
      </c>
      <c r="C2">
        <v>561375</v>
      </c>
      <c r="D2">
        <v>8734.98</v>
      </c>
      <c r="E2">
        <v>12.47</v>
      </c>
      <c r="F2">
        <v>84.26</v>
      </c>
      <c r="G2">
        <v>521.92999999999995</v>
      </c>
      <c r="H2">
        <v>750.48</v>
      </c>
      <c r="I2">
        <v>1369.14</v>
      </c>
      <c r="J2">
        <v>1246.23</v>
      </c>
      <c r="K2">
        <v>4750.84</v>
      </c>
      <c r="L2">
        <v>1368.78</v>
      </c>
      <c r="M2">
        <v>7365.84</v>
      </c>
      <c r="P2" t="s">
        <v>28</v>
      </c>
      <c r="Q2" t="s">
        <v>29</v>
      </c>
      <c r="R2">
        <v>5727.52</v>
      </c>
      <c r="S2">
        <v>935.72</v>
      </c>
      <c r="T2">
        <v>4776.43</v>
      </c>
    </row>
    <row r="3" spans="1:20" hidden="1">
      <c r="A3" t="s">
        <v>30</v>
      </c>
      <c r="B3" t="s">
        <v>31</v>
      </c>
      <c r="C3">
        <v>353400</v>
      </c>
      <c r="D3">
        <v>2997.74</v>
      </c>
      <c r="E3">
        <v>2.83</v>
      </c>
      <c r="F3">
        <v>32.54</v>
      </c>
      <c r="G3">
        <v>135.82</v>
      </c>
      <c r="H3">
        <v>183.36</v>
      </c>
      <c r="I3">
        <v>354.56</v>
      </c>
      <c r="J3">
        <v>382.29</v>
      </c>
      <c r="K3">
        <v>1809</v>
      </c>
      <c r="L3">
        <v>439.16</v>
      </c>
      <c r="M3">
        <v>2630.45</v>
      </c>
      <c r="N3">
        <v>12.73</v>
      </c>
      <c r="P3" t="s">
        <v>32</v>
      </c>
      <c r="Q3" t="s">
        <v>33</v>
      </c>
      <c r="R3">
        <v>3612.23</v>
      </c>
      <c r="S3">
        <v>414.84</v>
      </c>
      <c r="T3">
        <v>3189.57</v>
      </c>
    </row>
    <row r="4" spans="1:20">
      <c r="A4" t="s">
        <v>34</v>
      </c>
      <c r="B4" t="s">
        <v>35</v>
      </c>
      <c r="C4">
        <v>296188</v>
      </c>
      <c r="D4">
        <v>6640.04</v>
      </c>
      <c r="E4">
        <v>9.1199999999999992</v>
      </c>
      <c r="F4">
        <v>132.01</v>
      </c>
      <c r="G4">
        <v>262.67</v>
      </c>
      <c r="H4">
        <v>799.49</v>
      </c>
      <c r="I4">
        <v>1203.29</v>
      </c>
      <c r="J4">
        <v>748.17</v>
      </c>
      <c r="K4">
        <v>3619.66</v>
      </c>
      <c r="L4">
        <v>1047.98</v>
      </c>
      <c r="M4">
        <v>5415.82</v>
      </c>
      <c r="N4">
        <v>20.93</v>
      </c>
      <c r="P4" t="s">
        <v>36</v>
      </c>
      <c r="Q4" t="s">
        <v>1</v>
      </c>
      <c r="R4">
        <v>2758.22</v>
      </c>
      <c r="S4">
        <v>669.2</v>
      </c>
      <c r="T4">
        <v>2089.02</v>
      </c>
    </row>
    <row r="5" spans="1:20" hidden="1">
      <c r="A5" t="s">
        <v>32</v>
      </c>
      <c r="B5" t="s">
        <v>37</v>
      </c>
      <c r="C5">
        <v>397377</v>
      </c>
      <c r="D5">
        <v>3721.91</v>
      </c>
      <c r="E5">
        <v>4.78</v>
      </c>
      <c r="F5">
        <v>63.92</v>
      </c>
      <c r="G5">
        <v>144.94999999999999</v>
      </c>
      <c r="H5">
        <v>303.24</v>
      </c>
      <c r="I5">
        <v>516.89</v>
      </c>
      <c r="J5">
        <v>453.22</v>
      </c>
      <c r="K5">
        <v>2402.25</v>
      </c>
      <c r="L5">
        <v>342.24</v>
      </c>
      <c r="M5">
        <v>3197.72</v>
      </c>
      <c r="N5">
        <v>7.3</v>
      </c>
      <c r="P5" t="s">
        <v>30</v>
      </c>
      <c r="Q5" t="s">
        <v>38</v>
      </c>
      <c r="R5">
        <v>3332.52</v>
      </c>
      <c r="S5">
        <v>761.31</v>
      </c>
      <c r="T5">
        <v>2535.92</v>
      </c>
    </row>
    <row r="6" spans="1:20" hidden="1">
      <c r="A6" t="s">
        <v>28</v>
      </c>
      <c r="B6" t="s">
        <v>29</v>
      </c>
      <c r="C6">
        <v>481343</v>
      </c>
      <c r="D6">
        <v>5727.52</v>
      </c>
      <c r="E6">
        <v>16.41</v>
      </c>
      <c r="F6">
        <v>58.59</v>
      </c>
      <c r="G6">
        <v>293.55</v>
      </c>
      <c r="H6">
        <v>567.16</v>
      </c>
      <c r="I6">
        <v>935.72</v>
      </c>
      <c r="J6">
        <v>704.28</v>
      </c>
      <c r="K6">
        <v>3387.19</v>
      </c>
      <c r="L6">
        <v>684.96</v>
      </c>
      <c r="M6">
        <v>4776.43</v>
      </c>
      <c r="N6">
        <v>15.37</v>
      </c>
      <c r="P6" t="s">
        <v>39</v>
      </c>
      <c r="Q6" t="s">
        <v>40</v>
      </c>
      <c r="R6">
        <v>4750.8900000000003</v>
      </c>
      <c r="S6">
        <v>720.94</v>
      </c>
      <c r="T6">
        <v>4014.18</v>
      </c>
    </row>
    <row r="7" spans="1:20" hidden="1">
      <c r="A7" t="s">
        <v>41</v>
      </c>
      <c r="B7" t="s">
        <v>42</v>
      </c>
      <c r="C7">
        <v>368018</v>
      </c>
      <c r="D7">
        <v>3630.53</v>
      </c>
      <c r="E7">
        <v>8.15</v>
      </c>
      <c r="F7">
        <v>86.68</v>
      </c>
      <c r="G7">
        <v>184.5</v>
      </c>
      <c r="H7">
        <v>329.06</v>
      </c>
      <c r="I7">
        <v>608.39</v>
      </c>
      <c r="J7">
        <v>454.05</v>
      </c>
      <c r="K7">
        <v>1954.8</v>
      </c>
      <c r="L7">
        <v>594.80999999999995</v>
      </c>
      <c r="M7">
        <v>3003.66</v>
      </c>
      <c r="N7">
        <v>18.48</v>
      </c>
      <c r="P7" t="s">
        <v>43</v>
      </c>
      <c r="Q7" t="s">
        <v>43</v>
      </c>
      <c r="R7">
        <v>1987.49</v>
      </c>
      <c r="S7">
        <v>538.9</v>
      </c>
      <c r="T7">
        <v>1448.59</v>
      </c>
    </row>
    <row r="8" spans="1:20" hidden="1">
      <c r="A8" t="s">
        <v>32</v>
      </c>
      <c r="B8" t="s">
        <v>33</v>
      </c>
      <c r="C8">
        <v>971949</v>
      </c>
      <c r="D8">
        <v>3612.23</v>
      </c>
      <c r="E8">
        <v>2.57</v>
      </c>
      <c r="F8">
        <v>85.81</v>
      </c>
      <c r="G8">
        <v>101.55</v>
      </c>
      <c r="H8">
        <v>224.91</v>
      </c>
      <c r="I8">
        <v>414.84</v>
      </c>
      <c r="J8">
        <v>450.64</v>
      </c>
      <c r="K8">
        <v>2525.0300000000002</v>
      </c>
      <c r="L8">
        <v>213.9</v>
      </c>
      <c r="M8">
        <v>3189.57</v>
      </c>
      <c r="N8">
        <v>7.82</v>
      </c>
      <c r="P8" t="s">
        <v>44</v>
      </c>
      <c r="Q8" t="s">
        <v>45</v>
      </c>
      <c r="R8">
        <v>3815.23</v>
      </c>
      <c r="S8">
        <v>656.36</v>
      </c>
      <c r="T8">
        <v>3114.42</v>
      </c>
    </row>
    <row r="9" spans="1:20" hidden="1">
      <c r="A9" t="s">
        <v>30</v>
      </c>
      <c r="B9" t="s">
        <v>46</v>
      </c>
      <c r="C9">
        <v>381154</v>
      </c>
      <c r="D9">
        <v>4618.34</v>
      </c>
      <c r="E9">
        <v>10.76</v>
      </c>
      <c r="F9">
        <v>24.14</v>
      </c>
      <c r="G9">
        <v>197.56</v>
      </c>
      <c r="H9">
        <v>246.88</v>
      </c>
      <c r="I9">
        <v>479.33</v>
      </c>
      <c r="J9">
        <v>962.08</v>
      </c>
      <c r="K9">
        <v>2377.7800000000002</v>
      </c>
      <c r="L9">
        <v>728.58</v>
      </c>
      <c r="M9">
        <v>4068.43</v>
      </c>
      <c r="N9">
        <v>70.58</v>
      </c>
      <c r="P9" t="s">
        <v>30</v>
      </c>
      <c r="Q9" t="s">
        <v>47</v>
      </c>
      <c r="R9">
        <v>2220.67</v>
      </c>
      <c r="S9">
        <v>366.61</v>
      </c>
      <c r="T9">
        <v>1842.97</v>
      </c>
    </row>
    <row r="10" spans="1:20" hidden="1">
      <c r="A10" t="s">
        <v>48</v>
      </c>
      <c r="B10" t="s">
        <v>49</v>
      </c>
      <c r="C10">
        <v>613217</v>
      </c>
      <c r="D10">
        <v>6997.68</v>
      </c>
      <c r="E10">
        <v>55.77</v>
      </c>
      <c r="F10">
        <v>62.29</v>
      </c>
      <c r="G10">
        <v>958.71</v>
      </c>
      <c r="H10">
        <v>950.23</v>
      </c>
      <c r="I10">
        <v>2027.01</v>
      </c>
      <c r="J10">
        <v>1311.28</v>
      </c>
      <c r="K10">
        <v>2773.57</v>
      </c>
      <c r="L10">
        <v>843.26</v>
      </c>
      <c r="M10">
        <v>4928.1099999999997</v>
      </c>
      <c r="N10">
        <v>42.56</v>
      </c>
      <c r="P10" t="s">
        <v>50</v>
      </c>
      <c r="Q10" t="s">
        <v>51</v>
      </c>
      <c r="R10">
        <v>5104.96</v>
      </c>
      <c r="S10">
        <v>948.74</v>
      </c>
      <c r="T10">
        <v>4156.22</v>
      </c>
    </row>
    <row r="11" spans="1:20" hidden="1">
      <c r="A11" t="s">
        <v>52</v>
      </c>
      <c r="B11" t="s">
        <v>53</v>
      </c>
      <c r="C11">
        <v>227403</v>
      </c>
      <c r="D11">
        <v>6693.84</v>
      </c>
      <c r="E11">
        <v>38.26</v>
      </c>
      <c r="F11">
        <v>43.97</v>
      </c>
      <c r="G11">
        <v>381.7</v>
      </c>
      <c r="H11">
        <v>562.88</v>
      </c>
      <c r="I11">
        <v>1026.81</v>
      </c>
      <c r="J11">
        <v>1418.63</v>
      </c>
      <c r="K11">
        <v>3739.62</v>
      </c>
      <c r="L11">
        <v>435.79</v>
      </c>
      <c r="M11">
        <v>5594.03</v>
      </c>
      <c r="N11">
        <v>73</v>
      </c>
      <c r="P11" t="s">
        <v>63</v>
      </c>
      <c r="Q11" t="s">
        <v>64</v>
      </c>
      <c r="R11">
        <v>4381.6499999999996</v>
      </c>
      <c r="S11">
        <v>1098.8599999999999</v>
      </c>
      <c r="T11">
        <v>3263.8</v>
      </c>
    </row>
    <row r="12" spans="1:20">
      <c r="A12" t="s">
        <v>54</v>
      </c>
      <c r="B12" t="s">
        <v>55</v>
      </c>
      <c r="C12">
        <v>225677</v>
      </c>
      <c r="D12">
        <v>2741.97</v>
      </c>
      <c r="E12">
        <v>0.89</v>
      </c>
      <c r="F12">
        <v>63.81</v>
      </c>
      <c r="G12">
        <v>22.6</v>
      </c>
      <c r="H12">
        <v>191.87</v>
      </c>
      <c r="I12">
        <v>279.16000000000003</v>
      </c>
      <c r="J12">
        <v>326.13</v>
      </c>
      <c r="K12">
        <v>1965.2</v>
      </c>
      <c r="L12">
        <v>153.32</v>
      </c>
      <c r="M12">
        <v>2444.64</v>
      </c>
      <c r="N12">
        <v>18.170000000000002</v>
      </c>
    </row>
    <row r="13" spans="1:20">
      <c r="A13" t="s">
        <v>36</v>
      </c>
      <c r="B13" t="s">
        <v>1</v>
      </c>
      <c r="C13">
        <v>682903</v>
      </c>
      <c r="D13">
        <v>2758.22</v>
      </c>
      <c r="E13">
        <v>8.35</v>
      </c>
      <c r="F13">
        <v>42.47</v>
      </c>
      <c r="G13">
        <v>205.59</v>
      </c>
      <c r="H13">
        <v>412.8</v>
      </c>
      <c r="I13">
        <v>669.2</v>
      </c>
      <c r="J13">
        <v>308.83</v>
      </c>
      <c r="K13">
        <v>1603.74</v>
      </c>
      <c r="L13">
        <v>176.45</v>
      </c>
      <c r="M13">
        <v>2089.02</v>
      </c>
    </row>
    <row r="14" spans="1:20">
      <c r="A14" t="s">
        <v>43</v>
      </c>
      <c r="B14" t="s">
        <v>56</v>
      </c>
      <c r="C14">
        <v>256169</v>
      </c>
      <c r="D14">
        <v>4930.34</v>
      </c>
      <c r="E14">
        <v>15.61</v>
      </c>
      <c r="F14">
        <v>55.43</v>
      </c>
      <c r="G14">
        <v>334.54</v>
      </c>
      <c r="H14">
        <v>613.66</v>
      </c>
      <c r="I14">
        <v>1019.25</v>
      </c>
      <c r="J14">
        <v>919.71</v>
      </c>
      <c r="K14">
        <v>2591.2600000000002</v>
      </c>
      <c r="L14">
        <v>325.18</v>
      </c>
      <c r="M14">
        <v>3836.14</v>
      </c>
      <c r="N14">
        <v>74.95</v>
      </c>
    </row>
    <row r="15" spans="1:20">
      <c r="A15" t="s">
        <v>57</v>
      </c>
      <c r="B15" t="s">
        <v>58</v>
      </c>
      <c r="C15">
        <v>249355</v>
      </c>
      <c r="D15">
        <v>2589.08</v>
      </c>
      <c r="E15">
        <v>2.0099999999999998</v>
      </c>
      <c r="F15">
        <v>52.13</v>
      </c>
      <c r="G15">
        <v>56.95</v>
      </c>
      <c r="H15">
        <v>148.38</v>
      </c>
      <c r="I15">
        <v>259.47000000000003</v>
      </c>
      <c r="J15">
        <v>314.41000000000003</v>
      </c>
      <c r="K15">
        <v>1866.01</v>
      </c>
      <c r="L15">
        <v>149.18</v>
      </c>
      <c r="M15">
        <v>2329.61</v>
      </c>
    </row>
    <row r="16" spans="1:20">
      <c r="A16" t="s">
        <v>59</v>
      </c>
      <c r="B16" t="s">
        <v>60</v>
      </c>
      <c r="C16">
        <v>914609</v>
      </c>
      <c r="D16">
        <v>3836.39</v>
      </c>
      <c r="E16">
        <v>9.4</v>
      </c>
      <c r="G16">
        <v>220.53</v>
      </c>
      <c r="H16">
        <v>433.52</v>
      </c>
      <c r="J16">
        <v>701.5</v>
      </c>
      <c r="K16">
        <v>2827</v>
      </c>
      <c r="L16">
        <v>286.68</v>
      </c>
      <c r="M16">
        <v>3815.18</v>
      </c>
      <c r="N16">
        <v>21.21</v>
      </c>
    </row>
    <row r="17" spans="1:14">
      <c r="A17" t="s">
        <v>61</v>
      </c>
      <c r="B17" t="s">
        <v>62</v>
      </c>
      <c r="C17">
        <v>240119</v>
      </c>
      <c r="D17">
        <v>2699.5</v>
      </c>
      <c r="E17">
        <v>4.58</v>
      </c>
      <c r="F17">
        <v>36.229999999999997</v>
      </c>
      <c r="G17">
        <v>82.46</v>
      </c>
      <c r="H17">
        <v>295.69</v>
      </c>
      <c r="I17">
        <v>418.96</v>
      </c>
      <c r="J17">
        <v>276.11</v>
      </c>
      <c r="K17">
        <v>1891.98</v>
      </c>
      <c r="L17">
        <v>104.12</v>
      </c>
      <c r="M17">
        <v>2272.21</v>
      </c>
      <c r="N17">
        <v>8.33</v>
      </c>
    </row>
    <row r="18" spans="1:14">
      <c r="A18" t="s">
        <v>63</v>
      </c>
      <c r="B18" t="s">
        <v>64</v>
      </c>
      <c r="C18">
        <v>2746388</v>
      </c>
      <c r="D18">
        <v>4381.6499999999996</v>
      </c>
      <c r="E18">
        <v>18.260000000000002</v>
      </c>
      <c r="F18">
        <v>65.11</v>
      </c>
      <c r="G18">
        <v>439.26</v>
      </c>
      <c r="H18">
        <v>570.36</v>
      </c>
      <c r="I18">
        <v>1098.8599999999999</v>
      </c>
      <c r="J18">
        <v>477.13</v>
      </c>
      <c r="K18">
        <v>2358.83</v>
      </c>
      <c r="L18">
        <v>427.84</v>
      </c>
      <c r="M18">
        <v>3263.8</v>
      </c>
      <c r="N18">
        <v>18.989999999999998</v>
      </c>
    </row>
    <row r="19" spans="1:14">
      <c r="A19" t="s">
        <v>30</v>
      </c>
      <c r="B19" t="s">
        <v>65</v>
      </c>
      <c r="C19">
        <v>271109</v>
      </c>
      <c r="D19">
        <v>1738.79</v>
      </c>
      <c r="E19">
        <v>0.74</v>
      </c>
      <c r="F19">
        <v>22.87</v>
      </c>
      <c r="G19">
        <v>112.13</v>
      </c>
      <c r="H19">
        <v>162.30000000000001</v>
      </c>
      <c r="I19">
        <v>298.04000000000002</v>
      </c>
      <c r="J19">
        <v>236.07</v>
      </c>
      <c r="K19">
        <v>915.5</v>
      </c>
      <c r="L19">
        <v>280.7</v>
      </c>
      <c r="M19">
        <v>1432.27</v>
      </c>
      <c r="N19">
        <v>8.48</v>
      </c>
    </row>
    <row r="20" spans="1:14">
      <c r="A20" t="s">
        <v>66</v>
      </c>
      <c r="B20" t="s">
        <v>67</v>
      </c>
      <c r="C20">
        <v>309317</v>
      </c>
      <c r="D20">
        <v>5997</v>
      </c>
      <c r="E20">
        <v>23.4</v>
      </c>
      <c r="F20">
        <v>97.62</v>
      </c>
      <c r="G20">
        <v>399.84</v>
      </c>
      <c r="H20">
        <v>426.26</v>
      </c>
      <c r="I20">
        <v>947.12</v>
      </c>
      <c r="J20">
        <v>1152.73</v>
      </c>
      <c r="K20">
        <v>3400.69</v>
      </c>
      <c r="L20">
        <v>496.46</v>
      </c>
      <c r="M20">
        <v>5049.88</v>
      </c>
    </row>
    <row r="21" spans="1:14">
      <c r="A21" t="s">
        <v>66</v>
      </c>
      <c r="B21" t="s">
        <v>68</v>
      </c>
      <c r="C21">
        <v>372624</v>
      </c>
      <c r="D21">
        <v>6538.45</v>
      </c>
      <c r="E21">
        <v>27.77</v>
      </c>
      <c r="F21">
        <v>128.97</v>
      </c>
      <c r="G21">
        <v>699.88</v>
      </c>
      <c r="H21">
        <v>700.14</v>
      </c>
      <c r="I21">
        <v>1556.76</v>
      </c>
      <c r="J21">
        <v>1518.87</v>
      </c>
      <c r="K21">
        <v>2516.15</v>
      </c>
      <c r="L21">
        <v>881.01</v>
      </c>
      <c r="M21">
        <v>4916.04</v>
      </c>
      <c r="N21">
        <v>65.650000000000006</v>
      </c>
    </row>
    <row r="22" spans="1:14">
      <c r="A22" t="s">
        <v>41</v>
      </c>
      <c r="B22" t="s">
        <v>69</v>
      </c>
      <c r="C22">
        <v>472958</v>
      </c>
      <c r="D22">
        <v>3765.25</v>
      </c>
      <c r="E22">
        <v>6.13</v>
      </c>
      <c r="F22">
        <v>103.39</v>
      </c>
      <c r="G22">
        <v>101.91</v>
      </c>
      <c r="H22">
        <v>312.70999999999998</v>
      </c>
      <c r="I22">
        <v>524.15</v>
      </c>
      <c r="J22">
        <v>530.28</v>
      </c>
      <c r="K22">
        <v>2235.08</v>
      </c>
      <c r="L22">
        <v>451.41</v>
      </c>
      <c r="M22">
        <v>3216.78</v>
      </c>
      <c r="N22">
        <v>24.32</v>
      </c>
    </row>
    <row r="23" spans="1:14">
      <c r="A23" t="s">
        <v>66</v>
      </c>
      <c r="B23" t="s">
        <v>70</v>
      </c>
      <c r="C23">
        <v>905748</v>
      </c>
      <c r="D23">
        <v>4501.8</v>
      </c>
      <c r="E23">
        <v>16.28</v>
      </c>
      <c r="F23">
        <v>105.37</v>
      </c>
      <c r="G23">
        <v>225.06</v>
      </c>
      <c r="H23">
        <v>166.7</v>
      </c>
      <c r="I23">
        <v>513.41</v>
      </c>
      <c r="J23">
        <v>815.29</v>
      </c>
      <c r="K23">
        <v>2650.87</v>
      </c>
      <c r="L23">
        <v>478.79</v>
      </c>
      <c r="M23">
        <v>3944.94</v>
      </c>
      <c r="N23">
        <v>43.45</v>
      </c>
    </row>
    <row r="24" spans="1:14">
      <c r="A24" t="s">
        <v>32</v>
      </c>
      <c r="B24" t="s">
        <v>71</v>
      </c>
      <c r="C24">
        <v>329256</v>
      </c>
      <c r="D24">
        <v>4285.1099999999997</v>
      </c>
      <c r="E24">
        <v>6.38</v>
      </c>
      <c r="F24">
        <v>70.459999999999994</v>
      </c>
      <c r="G24">
        <v>142.75</v>
      </c>
      <c r="H24">
        <v>482.91</v>
      </c>
      <c r="I24">
        <v>702.49</v>
      </c>
      <c r="J24">
        <v>677.89</v>
      </c>
      <c r="K24">
        <v>2665.4</v>
      </c>
      <c r="L24">
        <v>222.02</v>
      </c>
      <c r="M24">
        <v>3565.31</v>
      </c>
      <c r="N24">
        <v>17.309999999999999</v>
      </c>
    </row>
    <row r="25" spans="1:14">
      <c r="A25" t="s">
        <v>32</v>
      </c>
      <c r="B25" t="s">
        <v>72</v>
      </c>
      <c r="C25">
        <v>1304379</v>
      </c>
      <c r="D25">
        <v>3985.95</v>
      </c>
      <c r="E25">
        <v>12.48</v>
      </c>
      <c r="F25">
        <v>62.08</v>
      </c>
      <c r="G25">
        <v>327</v>
      </c>
      <c r="H25">
        <v>373.09</v>
      </c>
      <c r="I25">
        <v>774.64</v>
      </c>
      <c r="J25">
        <v>737.66</v>
      </c>
      <c r="K25">
        <v>1856.26</v>
      </c>
      <c r="L25">
        <v>591.16</v>
      </c>
      <c r="M25">
        <v>3185.09</v>
      </c>
      <c r="N25">
        <v>26.22</v>
      </c>
    </row>
    <row r="26" spans="1:14">
      <c r="A26" t="s">
        <v>41</v>
      </c>
      <c r="B26" t="s">
        <v>73</v>
      </c>
      <c r="C26">
        <v>706616</v>
      </c>
      <c r="D26">
        <v>4360.93</v>
      </c>
      <c r="E26">
        <v>8.35</v>
      </c>
      <c r="F26">
        <v>98.92</v>
      </c>
      <c r="G26">
        <v>174.35</v>
      </c>
      <c r="H26">
        <v>393.99</v>
      </c>
      <c r="I26">
        <v>675.61</v>
      </c>
      <c r="J26">
        <v>612.91999999999996</v>
      </c>
      <c r="K26">
        <v>2267.29</v>
      </c>
      <c r="L26">
        <v>786.85</v>
      </c>
      <c r="M26">
        <v>3667.06</v>
      </c>
      <c r="N26">
        <v>18.260000000000002</v>
      </c>
    </row>
    <row r="27" spans="1:14">
      <c r="A27" t="s">
        <v>74</v>
      </c>
      <c r="B27" t="s">
        <v>75</v>
      </c>
      <c r="C27">
        <v>217277</v>
      </c>
      <c r="D27">
        <v>5102.7</v>
      </c>
      <c r="E27">
        <v>12.89</v>
      </c>
      <c r="F27">
        <v>33.6</v>
      </c>
      <c r="G27">
        <v>167.53</v>
      </c>
      <c r="H27">
        <v>456.1</v>
      </c>
      <c r="I27">
        <v>670.11</v>
      </c>
      <c r="J27">
        <v>1099.06</v>
      </c>
      <c r="K27">
        <v>2734.3</v>
      </c>
      <c r="L27">
        <v>579.9</v>
      </c>
      <c r="M27">
        <v>4413.26</v>
      </c>
      <c r="N27">
        <v>19.329999999999998</v>
      </c>
    </row>
    <row r="28" spans="1:14">
      <c r="A28" t="s">
        <v>76</v>
      </c>
      <c r="B28" t="s">
        <v>77</v>
      </c>
      <c r="C28">
        <v>670792</v>
      </c>
      <c r="D28">
        <v>6726.82</v>
      </c>
      <c r="E28">
        <v>39.799999999999997</v>
      </c>
      <c r="F28">
        <v>103.91</v>
      </c>
      <c r="G28">
        <v>393.42</v>
      </c>
      <c r="H28">
        <v>1519.55</v>
      </c>
      <c r="I28">
        <v>2056.67</v>
      </c>
      <c r="J28">
        <v>1231.08</v>
      </c>
      <c r="K28">
        <v>2093.79</v>
      </c>
      <c r="L28">
        <v>1215.73</v>
      </c>
      <c r="M28">
        <v>4540.6000000000004</v>
      </c>
      <c r="N28">
        <v>129.55000000000001</v>
      </c>
    </row>
    <row r="29" spans="1:14">
      <c r="A29" t="s">
        <v>59</v>
      </c>
      <c r="B29" t="s">
        <v>78</v>
      </c>
      <c r="C29">
        <v>269088</v>
      </c>
      <c r="D29">
        <v>3837.78</v>
      </c>
      <c r="E29">
        <v>8.5500000000000007</v>
      </c>
      <c r="G29">
        <v>316.63</v>
      </c>
      <c r="H29">
        <v>467.13</v>
      </c>
      <c r="J29">
        <v>867.37</v>
      </c>
      <c r="K29">
        <v>2675.7</v>
      </c>
      <c r="L29">
        <v>283.18</v>
      </c>
      <c r="M29">
        <v>3826.26</v>
      </c>
      <c r="N29">
        <v>11.52</v>
      </c>
    </row>
    <row r="30" spans="1:14">
      <c r="A30" t="s">
        <v>32</v>
      </c>
      <c r="B30" t="s">
        <v>79</v>
      </c>
      <c r="C30">
        <v>688667</v>
      </c>
      <c r="D30">
        <v>2203.25</v>
      </c>
      <c r="E30">
        <v>2.76</v>
      </c>
      <c r="F30">
        <v>53.87</v>
      </c>
      <c r="G30">
        <v>58.08</v>
      </c>
      <c r="H30">
        <v>264.13</v>
      </c>
      <c r="I30">
        <v>378.85</v>
      </c>
      <c r="J30">
        <v>188.33</v>
      </c>
      <c r="K30">
        <v>1514.37</v>
      </c>
      <c r="L30">
        <v>116.17</v>
      </c>
      <c r="M30">
        <v>1818.88</v>
      </c>
      <c r="N30">
        <v>5.52</v>
      </c>
    </row>
    <row r="31" spans="1:14">
      <c r="A31" t="s">
        <v>80</v>
      </c>
      <c r="B31" t="s">
        <v>81</v>
      </c>
      <c r="C31">
        <v>266259</v>
      </c>
      <c r="D31">
        <v>3572.46</v>
      </c>
      <c r="E31">
        <v>13.9</v>
      </c>
      <c r="F31">
        <v>51.08</v>
      </c>
      <c r="G31">
        <v>112.3</v>
      </c>
      <c r="H31">
        <v>180.28</v>
      </c>
      <c r="I31">
        <v>357.55</v>
      </c>
      <c r="J31">
        <v>491.25</v>
      </c>
      <c r="K31">
        <v>2488.5500000000002</v>
      </c>
      <c r="L31">
        <v>199.81</v>
      </c>
      <c r="M31">
        <v>3179.61</v>
      </c>
      <c r="N31">
        <v>35.299999999999997</v>
      </c>
    </row>
    <row r="32" spans="1:14">
      <c r="A32" t="s">
        <v>32</v>
      </c>
      <c r="B32" t="s">
        <v>82</v>
      </c>
      <c r="C32">
        <v>873069</v>
      </c>
      <c r="D32">
        <v>3792.83</v>
      </c>
      <c r="E32">
        <v>8.02</v>
      </c>
      <c r="F32">
        <v>65.17</v>
      </c>
      <c r="G32">
        <v>147.30000000000001</v>
      </c>
      <c r="H32">
        <v>339.72</v>
      </c>
      <c r="I32">
        <v>560.21</v>
      </c>
      <c r="J32">
        <v>585.98</v>
      </c>
      <c r="K32">
        <v>2319.4</v>
      </c>
      <c r="L32">
        <v>309.94</v>
      </c>
      <c r="M32">
        <v>3215.32</v>
      </c>
      <c r="N32">
        <v>17.3</v>
      </c>
    </row>
    <row r="33" spans="1:14">
      <c r="A33" t="s">
        <v>30</v>
      </c>
      <c r="B33" t="s">
        <v>83</v>
      </c>
      <c r="C33">
        <v>236368</v>
      </c>
      <c r="D33">
        <v>2343.8000000000002</v>
      </c>
      <c r="E33">
        <v>0.85</v>
      </c>
      <c r="F33">
        <v>28.77</v>
      </c>
      <c r="G33">
        <v>79.11</v>
      </c>
      <c r="H33">
        <v>73.61</v>
      </c>
      <c r="I33">
        <v>182.34</v>
      </c>
      <c r="J33">
        <v>284.73</v>
      </c>
      <c r="K33">
        <v>1499.78</v>
      </c>
      <c r="L33">
        <v>365.95</v>
      </c>
      <c r="M33">
        <v>2150.46</v>
      </c>
      <c r="N33">
        <v>11</v>
      </c>
    </row>
    <row r="34" spans="1:14">
      <c r="A34" t="s">
        <v>30</v>
      </c>
      <c r="B34" t="s">
        <v>84</v>
      </c>
      <c r="C34">
        <v>526371</v>
      </c>
      <c r="D34">
        <v>4447.63</v>
      </c>
      <c r="E34">
        <v>10.64</v>
      </c>
      <c r="F34">
        <v>33.06</v>
      </c>
      <c r="G34">
        <v>182</v>
      </c>
      <c r="H34">
        <v>339.3</v>
      </c>
      <c r="I34">
        <v>565</v>
      </c>
      <c r="J34">
        <v>693.24</v>
      </c>
      <c r="K34">
        <v>2618.31</v>
      </c>
      <c r="L34">
        <v>529.85</v>
      </c>
      <c r="M34">
        <v>3841.4</v>
      </c>
      <c r="N34">
        <v>41.23</v>
      </c>
    </row>
    <row r="35" spans="1:14">
      <c r="A35" t="s">
        <v>32</v>
      </c>
      <c r="B35" t="s">
        <v>85</v>
      </c>
      <c r="C35">
        <v>236243</v>
      </c>
      <c r="D35">
        <v>3355.44</v>
      </c>
      <c r="E35">
        <v>3.39</v>
      </c>
      <c r="F35">
        <v>54.6</v>
      </c>
      <c r="G35">
        <v>135.03</v>
      </c>
      <c r="H35">
        <v>123.6</v>
      </c>
      <c r="I35">
        <v>316.62</v>
      </c>
      <c r="J35">
        <v>513.88</v>
      </c>
      <c r="K35">
        <v>2175.73</v>
      </c>
      <c r="L35">
        <v>342.87</v>
      </c>
      <c r="M35">
        <v>3032.47</v>
      </c>
      <c r="N35">
        <v>6.35</v>
      </c>
    </row>
    <row r="36" spans="1:14">
      <c r="A36" t="s">
        <v>57</v>
      </c>
      <c r="B36" t="s">
        <v>86</v>
      </c>
      <c r="C36">
        <v>242090</v>
      </c>
      <c r="D36">
        <v>1483.75</v>
      </c>
      <c r="E36">
        <v>2.0699999999999998</v>
      </c>
      <c r="F36">
        <v>16.11</v>
      </c>
      <c r="G36">
        <v>21.07</v>
      </c>
      <c r="H36">
        <v>46.26</v>
      </c>
      <c r="I36">
        <v>85.51</v>
      </c>
      <c r="J36">
        <v>192.49</v>
      </c>
      <c r="K36">
        <v>1137.5899999999999</v>
      </c>
      <c r="L36">
        <v>55.76</v>
      </c>
      <c r="M36">
        <v>1385.85</v>
      </c>
      <c r="N36">
        <v>12.39</v>
      </c>
    </row>
    <row r="37" spans="1:14">
      <c r="A37" t="s">
        <v>57</v>
      </c>
      <c r="B37" t="s">
        <v>87</v>
      </c>
      <c r="C37">
        <v>249273</v>
      </c>
      <c r="D37">
        <v>5037.8500000000004</v>
      </c>
      <c r="E37">
        <v>4.8099999999999996</v>
      </c>
      <c r="F37">
        <v>38.909999999999997</v>
      </c>
      <c r="G37">
        <v>192.96</v>
      </c>
      <c r="H37">
        <v>251.53</v>
      </c>
      <c r="I37">
        <v>488.22</v>
      </c>
      <c r="J37">
        <v>637.45000000000005</v>
      </c>
      <c r="K37">
        <v>3426.36</v>
      </c>
      <c r="L37">
        <v>466.56</v>
      </c>
      <c r="M37">
        <v>4530.37</v>
      </c>
      <c r="N37">
        <v>19.260000000000002</v>
      </c>
    </row>
    <row r="38" spans="1:14">
      <c r="A38" t="s">
        <v>59</v>
      </c>
      <c r="B38" t="s">
        <v>88</v>
      </c>
      <c r="C38">
        <v>290051</v>
      </c>
      <c r="D38">
        <v>3601.78</v>
      </c>
      <c r="E38">
        <v>15.86</v>
      </c>
      <c r="G38">
        <v>228.93</v>
      </c>
      <c r="H38">
        <v>480.61</v>
      </c>
      <c r="J38">
        <v>710.91</v>
      </c>
      <c r="K38">
        <v>2559.5500000000002</v>
      </c>
      <c r="L38">
        <v>291.67</v>
      </c>
      <c r="M38">
        <v>3562.13</v>
      </c>
      <c r="N38">
        <v>39.65</v>
      </c>
    </row>
    <row r="39" spans="1:14">
      <c r="A39" t="s">
        <v>89</v>
      </c>
      <c r="B39" t="s">
        <v>90</v>
      </c>
      <c r="C39">
        <v>299285</v>
      </c>
      <c r="D39">
        <v>2025.17</v>
      </c>
      <c r="E39">
        <v>3.34</v>
      </c>
      <c r="F39">
        <v>28.74</v>
      </c>
      <c r="G39">
        <v>80.19</v>
      </c>
      <c r="H39">
        <v>72.84</v>
      </c>
      <c r="I39">
        <v>185.11</v>
      </c>
      <c r="J39">
        <v>363.87</v>
      </c>
      <c r="K39">
        <v>1254.99</v>
      </c>
      <c r="L39">
        <v>214.18</v>
      </c>
      <c r="M39">
        <v>1833.04</v>
      </c>
      <c r="N39">
        <v>7.02</v>
      </c>
    </row>
    <row r="40" spans="1:14">
      <c r="A40" t="s">
        <v>39</v>
      </c>
      <c r="B40" t="s">
        <v>91</v>
      </c>
      <c r="C40">
        <v>238260</v>
      </c>
      <c r="D40">
        <v>2422.14</v>
      </c>
      <c r="E40">
        <v>2.52</v>
      </c>
      <c r="F40">
        <v>13.85</v>
      </c>
      <c r="G40">
        <v>64.64</v>
      </c>
      <c r="H40">
        <v>117.52</v>
      </c>
      <c r="I40">
        <v>198.52</v>
      </c>
      <c r="J40">
        <v>248.89</v>
      </c>
      <c r="K40">
        <v>1677.16</v>
      </c>
      <c r="L40">
        <v>287.5</v>
      </c>
      <c r="M40">
        <v>2213.5500000000002</v>
      </c>
      <c r="N40">
        <v>10.07</v>
      </c>
    </row>
    <row r="41" spans="1:14">
      <c r="A41" t="s">
        <v>92</v>
      </c>
      <c r="B41" t="s">
        <v>93</v>
      </c>
      <c r="C41">
        <v>990384</v>
      </c>
      <c r="D41">
        <v>3053.77</v>
      </c>
      <c r="E41">
        <v>3.23</v>
      </c>
      <c r="F41">
        <v>28.78</v>
      </c>
      <c r="G41">
        <v>91.68</v>
      </c>
      <c r="H41">
        <v>122.68</v>
      </c>
      <c r="I41">
        <v>246.37</v>
      </c>
      <c r="J41">
        <v>336.33</v>
      </c>
      <c r="K41">
        <v>2073.94</v>
      </c>
      <c r="L41">
        <v>364.1</v>
      </c>
      <c r="M41">
        <v>2774.38</v>
      </c>
      <c r="N41">
        <v>33.020000000000003</v>
      </c>
    </row>
    <row r="42" spans="1:14">
      <c r="A42" t="s">
        <v>32</v>
      </c>
      <c r="B42" t="s">
        <v>94</v>
      </c>
      <c r="C42">
        <v>2304580</v>
      </c>
      <c r="D42">
        <v>5252.08</v>
      </c>
      <c r="E42">
        <v>11.5</v>
      </c>
      <c r="F42">
        <v>58.42</v>
      </c>
      <c r="G42">
        <v>417.96</v>
      </c>
      <c r="H42">
        <v>607.34</v>
      </c>
      <c r="I42">
        <v>1095.23</v>
      </c>
      <c r="J42">
        <v>731.66</v>
      </c>
      <c r="K42">
        <v>2900.82</v>
      </c>
      <c r="L42">
        <v>495.93</v>
      </c>
      <c r="M42">
        <v>4128.41</v>
      </c>
      <c r="N42">
        <v>28.44</v>
      </c>
    </row>
    <row r="43" spans="1:14">
      <c r="A43" t="s">
        <v>80</v>
      </c>
      <c r="B43" t="s">
        <v>95</v>
      </c>
      <c r="C43">
        <v>870788</v>
      </c>
      <c r="D43">
        <v>5775.23</v>
      </c>
      <c r="E43">
        <v>17.91</v>
      </c>
      <c r="F43">
        <v>76.709999999999994</v>
      </c>
      <c r="G43">
        <v>400.21</v>
      </c>
      <c r="H43">
        <v>839.13</v>
      </c>
      <c r="I43">
        <v>1333.96</v>
      </c>
      <c r="J43">
        <v>1027.23</v>
      </c>
      <c r="K43">
        <v>2821.47</v>
      </c>
      <c r="L43">
        <v>563.16999999999996</v>
      </c>
      <c r="M43">
        <v>4411.87</v>
      </c>
      <c r="N43">
        <v>29.4</v>
      </c>
    </row>
    <row r="44" spans="1:14">
      <c r="A44" t="s">
        <v>30</v>
      </c>
      <c r="B44" t="s">
        <v>96</v>
      </c>
      <c r="C44">
        <v>276115</v>
      </c>
      <c r="D44">
        <v>1381.31</v>
      </c>
      <c r="E44">
        <v>0.72</v>
      </c>
      <c r="F44">
        <v>16.66</v>
      </c>
      <c r="G44">
        <v>19.920000000000002</v>
      </c>
      <c r="H44">
        <v>23.9</v>
      </c>
      <c r="I44">
        <v>61.21</v>
      </c>
      <c r="J44">
        <v>227.08</v>
      </c>
      <c r="K44">
        <v>1019.14</v>
      </c>
      <c r="L44">
        <v>70.260000000000005</v>
      </c>
      <c r="M44">
        <v>1316.48</v>
      </c>
      <c r="N44">
        <v>3.62</v>
      </c>
    </row>
    <row r="45" spans="1:14">
      <c r="A45" t="s">
        <v>32</v>
      </c>
      <c r="B45" t="s">
        <v>97</v>
      </c>
      <c r="C45">
        <v>242062</v>
      </c>
      <c r="D45">
        <v>2775.73</v>
      </c>
      <c r="E45">
        <v>3.3</v>
      </c>
      <c r="F45">
        <v>22.31</v>
      </c>
      <c r="G45">
        <v>94.19</v>
      </c>
      <c r="H45">
        <v>107</v>
      </c>
      <c r="I45">
        <v>226.8</v>
      </c>
      <c r="J45">
        <v>400.31</v>
      </c>
      <c r="K45">
        <v>1845.39</v>
      </c>
      <c r="L45">
        <v>293.73</v>
      </c>
      <c r="M45">
        <v>2539.4299999999998</v>
      </c>
      <c r="N45">
        <v>9.5</v>
      </c>
    </row>
    <row r="46" spans="1:14">
      <c r="A46" t="s">
        <v>39</v>
      </c>
      <c r="B46" t="s">
        <v>98</v>
      </c>
      <c r="C46">
        <v>894638</v>
      </c>
      <c r="D46">
        <v>4168.7299999999996</v>
      </c>
      <c r="E46">
        <v>12.18</v>
      </c>
      <c r="F46">
        <v>60.14</v>
      </c>
      <c r="G46">
        <v>153.81</v>
      </c>
      <c r="H46">
        <v>405.19</v>
      </c>
      <c r="I46">
        <v>631.32000000000005</v>
      </c>
      <c r="J46">
        <v>631.09</v>
      </c>
      <c r="K46">
        <v>2568.64</v>
      </c>
      <c r="L46">
        <v>326.95</v>
      </c>
      <c r="M46">
        <v>3526.68</v>
      </c>
      <c r="N46">
        <v>10.73</v>
      </c>
    </row>
    <row r="47" spans="1:14">
      <c r="A47" t="s">
        <v>99</v>
      </c>
      <c r="B47" t="s">
        <v>100</v>
      </c>
      <c r="C47">
        <v>267906</v>
      </c>
      <c r="D47">
        <v>2330.67</v>
      </c>
      <c r="E47">
        <v>7.84</v>
      </c>
      <c r="F47">
        <v>45.91</v>
      </c>
      <c r="G47">
        <v>199.32</v>
      </c>
      <c r="H47">
        <v>256.43</v>
      </c>
      <c r="I47">
        <v>509.51</v>
      </c>
      <c r="J47">
        <v>417.68</v>
      </c>
      <c r="K47">
        <v>1206.02</v>
      </c>
      <c r="L47">
        <v>183.27</v>
      </c>
      <c r="M47">
        <v>1806.98</v>
      </c>
      <c r="N47">
        <v>14.18</v>
      </c>
    </row>
    <row r="48" spans="1:14">
      <c r="A48" t="s">
        <v>101</v>
      </c>
      <c r="B48" t="s">
        <v>102</v>
      </c>
      <c r="C48">
        <v>484948</v>
      </c>
      <c r="D48">
        <v>6309.55</v>
      </c>
      <c r="E48">
        <v>30.93</v>
      </c>
      <c r="F48">
        <v>91.76</v>
      </c>
      <c r="G48">
        <v>383.13</v>
      </c>
      <c r="H48">
        <v>1218.48</v>
      </c>
      <c r="I48">
        <v>1724.31</v>
      </c>
      <c r="J48">
        <v>960.52</v>
      </c>
      <c r="K48">
        <v>2670.39</v>
      </c>
      <c r="L48">
        <v>912.88</v>
      </c>
      <c r="M48">
        <v>4543.79</v>
      </c>
      <c r="N48">
        <v>41.45</v>
      </c>
    </row>
    <row r="49" spans="1:14">
      <c r="A49" t="s">
        <v>32</v>
      </c>
      <c r="B49" t="s">
        <v>103</v>
      </c>
      <c r="C49">
        <v>260669</v>
      </c>
      <c r="D49">
        <v>2832.71</v>
      </c>
      <c r="E49">
        <v>3.84</v>
      </c>
      <c r="F49">
        <v>43.73</v>
      </c>
      <c r="G49">
        <v>59.08</v>
      </c>
      <c r="H49">
        <v>215.22</v>
      </c>
      <c r="I49">
        <v>321.86</v>
      </c>
      <c r="J49">
        <v>335.29</v>
      </c>
      <c r="K49">
        <v>2083.1</v>
      </c>
      <c r="L49">
        <v>65.22</v>
      </c>
      <c r="M49">
        <v>2483.61</v>
      </c>
      <c r="N49">
        <v>27.24</v>
      </c>
    </row>
    <row r="50" spans="1:14">
      <c r="A50" t="s">
        <v>89</v>
      </c>
      <c r="B50" t="s">
        <v>104</v>
      </c>
      <c r="C50">
        <v>627244</v>
      </c>
      <c r="D50">
        <v>3567.87</v>
      </c>
      <c r="E50">
        <v>12.6</v>
      </c>
      <c r="F50">
        <v>79.64</v>
      </c>
      <c r="G50">
        <v>211.15</v>
      </c>
      <c r="H50">
        <v>315.5</v>
      </c>
      <c r="I50">
        <v>618.9</v>
      </c>
      <c r="J50">
        <v>805.17</v>
      </c>
      <c r="K50">
        <v>1635.16</v>
      </c>
      <c r="L50">
        <v>503.06</v>
      </c>
      <c r="M50">
        <v>2943.38</v>
      </c>
      <c r="N50">
        <v>5.59</v>
      </c>
    </row>
    <row r="51" spans="1:14">
      <c r="A51" t="s">
        <v>105</v>
      </c>
      <c r="B51" t="s">
        <v>106</v>
      </c>
      <c r="C51">
        <v>322332</v>
      </c>
      <c r="D51">
        <v>4145.7299999999996</v>
      </c>
      <c r="E51">
        <v>9</v>
      </c>
      <c r="F51">
        <v>62.05</v>
      </c>
      <c r="G51">
        <v>169.7</v>
      </c>
      <c r="H51">
        <v>110.13</v>
      </c>
      <c r="I51">
        <v>350.88</v>
      </c>
      <c r="J51">
        <v>647.47</v>
      </c>
      <c r="K51">
        <v>2739.72</v>
      </c>
      <c r="L51">
        <v>394.93</v>
      </c>
      <c r="M51">
        <v>3782.13</v>
      </c>
      <c r="N51">
        <v>12.72</v>
      </c>
    </row>
    <row r="52" spans="1:14">
      <c r="A52" t="s">
        <v>30</v>
      </c>
      <c r="B52" t="s">
        <v>107</v>
      </c>
      <c r="C52">
        <v>471397</v>
      </c>
      <c r="D52">
        <v>3357.25</v>
      </c>
      <c r="E52">
        <v>4.67</v>
      </c>
      <c r="F52">
        <v>43.06</v>
      </c>
      <c r="G52">
        <v>262.41000000000003</v>
      </c>
      <c r="H52">
        <v>347.69</v>
      </c>
      <c r="I52">
        <v>657.83</v>
      </c>
      <c r="J52">
        <v>586.54999999999995</v>
      </c>
      <c r="K52">
        <v>1507.01</v>
      </c>
      <c r="L52">
        <v>578.91999999999996</v>
      </c>
      <c r="M52">
        <v>2672.48</v>
      </c>
      <c r="N52">
        <v>26.94</v>
      </c>
    </row>
    <row r="53" spans="1:14">
      <c r="A53" t="s">
        <v>30</v>
      </c>
      <c r="B53" t="s">
        <v>38</v>
      </c>
      <c r="C53">
        <v>3898747</v>
      </c>
      <c r="D53">
        <v>3332.52</v>
      </c>
      <c r="E53">
        <v>7.01</v>
      </c>
      <c r="F53">
        <v>61.27</v>
      </c>
      <c r="G53">
        <v>269.87</v>
      </c>
      <c r="H53">
        <v>423.17</v>
      </c>
      <c r="I53">
        <v>761.31</v>
      </c>
      <c r="J53">
        <v>415.96</v>
      </c>
      <c r="K53">
        <v>1640.99</v>
      </c>
      <c r="L53">
        <v>478.97</v>
      </c>
      <c r="M53">
        <v>2535.92</v>
      </c>
      <c r="N53">
        <v>35.29</v>
      </c>
    </row>
    <row r="54" spans="1:14">
      <c r="A54" t="s">
        <v>105</v>
      </c>
      <c r="B54" t="s">
        <v>108</v>
      </c>
      <c r="C54">
        <v>684362</v>
      </c>
      <c r="D54">
        <v>4769.99</v>
      </c>
      <c r="E54">
        <v>15.93</v>
      </c>
      <c r="F54">
        <v>25.57</v>
      </c>
      <c r="G54">
        <v>193.76</v>
      </c>
      <c r="H54">
        <v>411.77</v>
      </c>
      <c r="I54">
        <v>647.03</v>
      </c>
      <c r="J54">
        <v>821.64</v>
      </c>
      <c r="K54">
        <v>2735.98</v>
      </c>
      <c r="L54">
        <v>564.61</v>
      </c>
      <c r="M54">
        <v>4122.2299999999996</v>
      </c>
      <c r="N54">
        <v>0.73</v>
      </c>
    </row>
    <row r="55" spans="1:14">
      <c r="A55" t="s">
        <v>109</v>
      </c>
      <c r="B55" t="s">
        <v>110</v>
      </c>
      <c r="C55">
        <v>255850</v>
      </c>
      <c r="D55">
        <v>3040.46</v>
      </c>
      <c r="E55">
        <v>4.3</v>
      </c>
      <c r="F55">
        <v>37.130000000000003</v>
      </c>
      <c r="G55">
        <v>82.86</v>
      </c>
      <c r="H55">
        <v>250.15</v>
      </c>
      <c r="I55">
        <v>374.44</v>
      </c>
      <c r="J55">
        <v>362.32</v>
      </c>
      <c r="K55">
        <v>2130.94</v>
      </c>
      <c r="L55">
        <v>168.85</v>
      </c>
      <c r="M55">
        <v>2662.11</v>
      </c>
      <c r="N55">
        <v>3.91</v>
      </c>
    </row>
    <row r="56" spans="1:14">
      <c r="A56" t="s">
        <v>111</v>
      </c>
      <c r="B56" t="s">
        <v>112</v>
      </c>
      <c r="C56">
        <v>652765</v>
      </c>
      <c r="D56">
        <v>8357.07</v>
      </c>
      <c r="E56">
        <v>27.73</v>
      </c>
      <c r="F56">
        <v>90.38</v>
      </c>
      <c r="G56">
        <v>529.59</v>
      </c>
      <c r="H56">
        <v>1355.62</v>
      </c>
      <c r="I56">
        <v>2003.32</v>
      </c>
      <c r="J56">
        <v>1460.25</v>
      </c>
      <c r="K56">
        <v>4224.49</v>
      </c>
      <c r="L56">
        <v>613.08000000000004</v>
      </c>
      <c r="M56">
        <v>6297.83</v>
      </c>
      <c r="N56">
        <v>55.92</v>
      </c>
    </row>
    <row r="57" spans="1:14">
      <c r="A57" t="s">
        <v>57</v>
      </c>
      <c r="B57" t="s">
        <v>113</v>
      </c>
      <c r="C57">
        <v>492268</v>
      </c>
      <c r="D57">
        <v>2592.4899999999998</v>
      </c>
      <c r="E57">
        <v>4.67</v>
      </c>
      <c r="F57">
        <v>51.19</v>
      </c>
      <c r="G57">
        <v>92.23</v>
      </c>
      <c r="H57">
        <v>267.74</v>
      </c>
      <c r="I57">
        <v>415.83</v>
      </c>
      <c r="J57">
        <v>381.5</v>
      </c>
      <c r="K57">
        <v>1610.91</v>
      </c>
      <c r="L57">
        <v>179.58</v>
      </c>
      <c r="M57">
        <v>2171.9899999999998</v>
      </c>
      <c r="N57">
        <v>4.67</v>
      </c>
    </row>
    <row r="58" spans="1:14">
      <c r="A58" t="s">
        <v>39</v>
      </c>
      <c r="B58" t="s">
        <v>40</v>
      </c>
      <c r="C58">
        <v>463009</v>
      </c>
      <c r="D58">
        <v>4750.8900000000003</v>
      </c>
      <c r="E58">
        <v>11.23</v>
      </c>
      <c r="F58">
        <v>22.68</v>
      </c>
      <c r="G58">
        <v>211.23</v>
      </c>
      <c r="H58">
        <v>475.8</v>
      </c>
      <c r="I58">
        <v>720.94</v>
      </c>
      <c r="J58">
        <v>526.99</v>
      </c>
      <c r="K58">
        <v>3090.87</v>
      </c>
      <c r="L58">
        <v>396.32</v>
      </c>
      <c r="M58">
        <v>4014.18</v>
      </c>
      <c r="N58">
        <v>15.77</v>
      </c>
    </row>
    <row r="59" spans="1:14">
      <c r="A59" t="s">
        <v>109</v>
      </c>
      <c r="B59" t="s">
        <v>114</v>
      </c>
      <c r="C59">
        <v>595168</v>
      </c>
      <c r="D59">
        <v>5441.99</v>
      </c>
      <c r="E59">
        <v>19.829999999999998</v>
      </c>
      <c r="F59">
        <v>72.92</v>
      </c>
      <c r="G59">
        <v>490.45</v>
      </c>
      <c r="H59">
        <v>1014.17</v>
      </c>
      <c r="I59">
        <v>1597.36</v>
      </c>
      <c r="J59">
        <v>927.13</v>
      </c>
      <c r="K59">
        <v>1940.29</v>
      </c>
      <c r="L59">
        <v>924.61</v>
      </c>
      <c r="M59">
        <v>3792.04</v>
      </c>
      <c r="N59">
        <v>52.59</v>
      </c>
    </row>
    <row r="60" spans="1:14">
      <c r="A60" t="s">
        <v>115</v>
      </c>
      <c r="B60" t="s">
        <v>116</v>
      </c>
      <c r="C60">
        <v>418971</v>
      </c>
      <c r="D60">
        <v>5768.18</v>
      </c>
      <c r="E60">
        <v>10.02</v>
      </c>
      <c r="F60">
        <v>122.68</v>
      </c>
      <c r="G60">
        <v>434.16</v>
      </c>
      <c r="H60">
        <v>534.4</v>
      </c>
      <c r="I60">
        <v>1101.27</v>
      </c>
      <c r="J60">
        <v>897.91</v>
      </c>
      <c r="K60">
        <v>3173.49</v>
      </c>
      <c r="L60">
        <v>569.97</v>
      </c>
      <c r="M60">
        <v>4641.37</v>
      </c>
      <c r="N60">
        <v>25.54</v>
      </c>
    </row>
    <row r="61" spans="1:14">
      <c r="A61" t="s">
        <v>117</v>
      </c>
      <c r="B61" t="s">
        <v>118</v>
      </c>
      <c r="C61">
        <v>248431</v>
      </c>
      <c r="D61">
        <v>6217.02</v>
      </c>
      <c r="E61">
        <v>20.13</v>
      </c>
      <c r="F61">
        <v>58.16</v>
      </c>
      <c r="G61">
        <v>177.11</v>
      </c>
      <c r="H61">
        <v>485.85</v>
      </c>
      <c r="I61">
        <v>740.25</v>
      </c>
      <c r="J61">
        <v>1216.8399999999999</v>
      </c>
      <c r="K61">
        <v>3730.21</v>
      </c>
      <c r="L61">
        <v>506.78</v>
      </c>
      <c r="M61">
        <v>5453.83</v>
      </c>
      <c r="N61">
        <v>22.94</v>
      </c>
    </row>
    <row r="62" spans="1:14">
      <c r="A62" t="s">
        <v>111</v>
      </c>
      <c r="B62" t="s">
        <v>119</v>
      </c>
      <c r="C62">
        <v>674942</v>
      </c>
      <c r="D62">
        <v>4966.5</v>
      </c>
      <c r="E62">
        <v>16.3</v>
      </c>
      <c r="F62">
        <v>72.900000000000006</v>
      </c>
      <c r="G62">
        <v>303.14</v>
      </c>
      <c r="H62">
        <v>745.84</v>
      </c>
      <c r="I62">
        <v>1138.17</v>
      </c>
      <c r="J62">
        <v>631.30999999999995</v>
      </c>
      <c r="K62">
        <v>2806.61</v>
      </c>
      <c r="L62">
        <v>380.03</v>
      </c>
      <c r="M62">
        <v>3817.96</v>
      </c>
      <c r="N62">
        <v>10.37</v>
      </c>
    </row>
    <row r="63" spans="1:14">
      <c r="A63" t="s">
        <v>52</v>
      </c>
      <c r="B63" t="s">
        <v>120</v>
      </c>
      <c r="C63">
        <v>397447</v>
      </c>
      <c r="D63">
        <v>5375.57</v>
      </c>
      <c r="E63">
        <v>39.5</v>
      </c>
      <c r="F63">
        <v>144.66999999999999</v>
      </c>
      <c r="G63">
        <v>329.1</v>
      </c>
      <c r="H63">
        <v>608.13</v>
      </c>
      <c r="I63">
        <v>1121.4100000000001</v>
      </c>
      <c r="J63">
        <v>560.83000000000004</v>
      </c>
      <c r="K63">
        <v>3046.19</v>
      </c>
      <c r="L63">
        <v>636.80999999999995</v>
      </c>
      <c r="M63">
        <v>4243.84</v>
      </c>
      <c r="N63">
        <v>10.32</v>
      </c>
    </row>
    <row r="64" spans="1:14">
      <c r="A64" t="s">
        <v>43</v>
      </c>
      <c r="B64" t="s">
        <v>43</v>
      </c>
      <c r="C64">
        <v>8804190</v>
      </c>
      <c r="D64">
        <v>1987.49</v>
      </c>
      <c r="E64">
        <v>3.39</v>
      </c>
      <c r="F64">
        <v>27.56</v>
      </c>
      <c r="G64">
        <v>162.41999999999999</v>
      </c>
      <c r="H64">
        <v>345.52</v>
      </c>
      <c r="I64">
        <v>538.9</v>
      </c>
      <c r="J64">
        <v>128.87</v>
      </c>
      <c r="K64">
        <v>1253.1500000000001</v>
      </c>
      <c r="L64">
        <v>66.56</v>
      </c>
      <c r="M64">
        <v>1448.59</v>
      </c>
    </row>
    <row r="65" spans="1:14">
      <c r="A65" t="s">
        <v>99</v>
      </c>
      <c r="B65" t="s">
        <v>121</v>
      </c>
      <c r="C65">
        <v>283673</v>
      </c>
      <c r="D65">
        <v>3316.84</v>
      </c>
      <c r="E65">
        <v>27.14</v>
      </c>
      <c r="F65">
        <v>40.89</v>
      </c>
      <c r="G65">
        <v>377.19</v>
      </c>
      <c r="H65">
        <v>451.22</v>
      </c>
      <c r="I65">
        <v>896.45</v>
      </c>
      <c r="J65">
        <v>423.73</v>
      </c>
      <c r="K65">
        <v>1128.06</v>
      </c>
      <c r="L65">
        <v>843.22</v>
      </c>
      <c r="M65">
        <v>2395.0100000000002</v>
      </c>
      <c r="N65">
        <v>25.38</v>
      </c>
    </row>
    <row r="66" spans="1:14">
      <c r="A66" t="s">
        <v>61</v>
      </c>
      <c r="B66" t="s">
        <v>122</v>
      </c>
      <c r="C66">
        <v>245190</v>
      </c>
      <c r="D66">
        <v>4308.09</v>
      </c>
      <c r="E66">
        <v>14.68</v>
      </c>
      <c r="F66">
        <v>55.06</v>
      </c>
      <c r="G66">
        <v>151.31</v>
      </c>
      <c r="H66">
        <v>334.84</v>
      </c>
      <c r="I66">
        <v>555.9</v>
      </c>
      <c r="J66">
        <v>471.47</v>
      </c>
      <c r="K66">
        <v>2984.62</v>
      </c>
      <c r="L66">
        <v>292.83</v>
      </c>
      <c r="M66">
        <v>3748.93</v>
      </c>
      <c r="N66">
        <v>3.26</v>
      </c>
    </row>
    <row r="67" spans="1:14">
      <c r="A67" t="s">
        <v>89</v>
      </c>
      <c r="B67" t="s">
        <v>123</v>
      </c>
      <c r="C67">
        <v>242537</v>
      </c>
      <c r="D67">
        <v>3405.26</v>
      </c>
      <c r="E67">
        <v>9.07</v>
      </c>
      <c r="F67">
        <v>47.83</v>
      </c>
      <c r="G67">
        <v>232.95</v>
      </c>
      <c r="H67">
        <v>724.84</v>
      </c>
      <c r="I67">
        <v>1014.69</v>
      </c>
      <c r="J67">
        <v>804</v>
      </c>
      <c r="K67">
        <v>1037.3699999999999</v>
      </c>
      <c r="L67">
        <v>544.66</v>
      </c>
      <c r="M67">
        <v>2386.0300000000002</v>
      </c>
      <c r="N67">
        <v>4.54</v>
      </c>
    </row>
    <row r="68" spans="1:14">
      <c r="A68" t="s">
        <v>30</v>
      </c>
      <c r="B68" t="s">
        <v>124</v>
      </c>
      <c r="C68">
        <v>424915</v>
      </c>
      <c r="D68">
        <v>7328.29</v>
      </c>
      <c r="E68">
        <v>16.239999999999998</v>
      </c>
      <c r="F68">
        <v>94.14</v>
      </c>
      <c r="G68">
        <v>629.77</v>
      </c>
      <c r="H68">
        <v>559.16999999999996</v>
      </c>
      <c r="I68">
        <v>1299.32</v>
      </c>
      <c r="J68">
        <v>617.05999999999995</v>
      </c>
      <c r="K68">
        <v>4072.58</v>
      </c>
      <c r="L68">
        <v>1293.2</v>
      </c>
      <c r="M68">
        <v>5982.84</v>
      </c>
      <c r="N68">
        <v>46.13</v>
      </c>
    </row>
    <row r="69" spans="1:14">
      <c r="A69" t="s">
        <v>125</v>
      </c>
      <c r="B69" t="s">
        <v>126</v>
      </c>
      <c r="C69">
        <v>648260</v>
      </c>
      <c r="D69">
        <v>4552.5</v>
      </c>
      <c r="E69">
        <v>12.49</v>
      </c>
      <c r="F69">
        <v>73.12</v>
      </c>
      <c r="G69">
        <v>172.77</v>
      </c>
      <c r="H69">
        <v>528.95000000000005</v>
      </c>
      <c r="I69">
        <v>787.34</v>
      </c>
      <c r="J69">
        <v>941.75</v>
      </c>
      <c r="K69">
        <v>2378.83</v>
      </c>
      <c r="L69">
        <v>431.93</v>
      </c>
      <c r="M69">
        <v>3752.51</v>
      </c>
      <c r="N69">
        <v>12.65</v>
      </c>
    </row>
    <row r="70" spans="1:14">
      <c r="A70" t="s">
        <v>127</v>
      </c>
      <c r="B70" t="s">
        <v>128</v>
      </c>
      <c r="C70">
        <v>449388</v>
      </c>
      <c r="D70">
        <v>4527.49</v>
      </c>
      <c r="E70">
        <v>6.9</v>
      </c>
      <c r="F70">
        <v>91.24</v>
      </c>
      <c r="G70">
        <v>139.08000000000001</v>
      </c>
      <c r="H70">
        <v>410.11</v>
      </c>
      <c r="I70">
        <v>647.32000000000005</v>
      </c>
      <c r="J70">
        <v>464.63</v>
      </c>
      <c r="K70">
        <v>2636.7</v>
      </c>
      <c r="L70">
        <v>778.84</v>
      </c>
      <c r="M70">
        <v>3880.17</v>
      </c>
    </row>
    <row r="71" spans="1:14">
      <c r="A71" t="s">
        <v>39</v>
      </c>
      <c r="B71" t="s">
        <v>129</v>
      </c>
      <c r="C71">
        <v>283982</v>
      </c>
      <c r="D71">
        <v>6206.38</v>
      </c>
      <c r="E71">
        <v>8.1</v>
      </c>
      <c r="F71">
        <v>64.44</v>
      </c>
      <c r="G71">
        <v>213.04</v>
      </c>
      <c r="H71">
        <v>458.48</v>
      </c>
      <c r="I71">
        <v>744.06</v>
      </c>
      <c r="J71">
        <v>840.9</v>
      </c>
      <c r="K71">
        <v>4125.26</v>
      </c>
      <c r="L71">
        <v>488.41</v>
      </c>
      <c r="M71">
        <v>5454.57</v>
      </c>
      <c r="N71">
        <v>7.75</v>
      </c>
    </row>
    <row r="72" spans="1:14">
      <c r="A72" t="s">
        <v>44</v>
      </c>
      <c r="B72" t="s">
        <v>130</v>
      </c>
      <c r="C72">
        <v>1603797</v>
      </c>
      <c r="D72">
        <v>4037.27</v>
      </c>
      <c r="E72">
        <v>20.059999999999999</v>
      </c>
      <c r="F72">
        <v>75.02</v>
      </c>
      <c r="G72">
        <v>382.46</v>
      </c>
      <c r="H72">
        <v>470.04</v>
      </c>
      <c r="I72">
        <v>947.58</v>
      </c>
      <c r="J72">
        <v>418.25</v>
      </c>
      <c r="K72">
        <v>2297.23</v>
      </c>
      <c r="L72">
        <v>348</v>
      </c>
      <c r="M72">
        <v>3063.48</v>
      </c>
      <c r="N72">
        <v>26.21</v>
      </c>
    </row>
    <row r="73" spans="1:14">
      <c r="A73" t="s">
        <v>57</v>
      </c>
      <c r="B73" t="s">
        <v>131</v>
      </c>
      <c r="C73">
        <v>1608139</v>
      </c>
      <c r="D73">
        <v>4443.2</v>
      </c>
      <c r="E73">
        <v>9.5500000000000007</v>
      </c>
      <c r="F73">
        <v>69.459999999999994</v>
      </c>
      <c r="G73">
        <v>200.28</v>
      </c>
      <c r="H73">
        <v>481.64</v>
      </c>
      <c r="I73">
        <v>760.93</v>
      </c>
      <c r="J73">
        <v>778.57</v>
      </c>
      <c r="K73">
        <v>2426.69</v>
      </c>
      <c r="L73">
        <v>465.46</v>
      </c>
      <c r="M73">
        <v>3670.71</v>
      </c>
      <c r="N73">
        <v>11.56</v>
      </c>
    </row>
    <row r="74" spans="1:14">
      <c r="A74" t="s">
        <v>44</v>
      </c>
      <c r="B74" t="s">
        <v>45</v>
      </c>
      <c r="C74">
        <v>305932</v>
      </c>
      <c r="D74">
        <v>3815.23</v>
      </c>
      <c r="E74">
        <v>17.98</v>
      </c>
      <c r="F74">
        <v>29.42</v>
      </c>
      <c r="G74">
        <v>262.14999999999998</v>
      </c>
      <c r="H74">
        <v>346.81</v>
      </c>
      <c r="I74">
        <v>656.36</v>
      </c>
      <c r="J74">
        <v>526.26</v>
      </c>
      <c r="K74">
        <v>2365.89</v>
      </c>
      <c r="L74">
        <v>222.27</v>
      </c>
      <c r="M74">
        <v>3114.42</v>
      </c>
      <c r="N74">
        <v>44.45</v>
      </c>
    </row>
    <row r="75" spans="1:14">
      <c r="A75" t="s">
        <v>32</v>
      </c>
      <c r="B75" t="s">
        <v>132</v>
      </c>
      <c r="C75">
        <v>290413</v>
      </c>
      <c r="D75">
        <v>1892.14</v>
      </c>
      <c r="E75">
        <v>5.17</v>
      </c>
      <c r="F75">
        <v>27.89</v>
      </c>
      <c r="G75">
        <v>40.98</v>
      </c>
      <c r="H75">
        <v>75.75</v>
      </c>
      <c r="I75">
        <v>149.79</v>
      </c>
      <c r="J75">
        <v>250.68</v>
      </c>
      <c r="K75">
        <v>1366.33</v>
      </c>
      <c r="L75">
        <v>116.73</v>
      </c>
      <c r="M75">
        <v>1733.74</v>
      </c>
      <c r="N75">
        <v>8.61</v>
      </c>
    </row>
    <row r="76" spans="1:14">
      <c r="A76" t="s">
        <v>133</v>
      </c>
      <c r="B76" t="s">
        <v>134</v>
      </c>
      <c r="C76">
        <v>649408</v>
      </c>
      <c r="D76">
        <v>6239.99</v>
      </c>
      <c r="E76">
        <v>3.7</v>
      </c>
      <c r="F76">
        <v>67.45</v>
      </c>
      <c r="G76">
        <v>160.91999999999999</v>
      </c>
      <c r="H76">
        <v>283.64</v>
      </c>
      <c r="I76">
        <v>515.70000000000005</v>
      </c>
      <c r="J76">
        <v>729.13</v>
      </c>
      <c r="K76">
        <v>3824.56</v>
      </c>
      <c r="L76">
        <v>1123.33</v>
      </c>
      <c r="M76">
        <v>5677.02</v>
      </c>
      <c r="N76">
        <v>47.27</v>
      </c>
    </row>
    <row r="77" spans="1:14">
      <c r="A77" t="s">
        <v>89</v>
      </c>
      <c r="B77" t="s">
        <v>135</v>
      </c>
      <c r="C77">
        <v>248531</v>
      </c>
      <c r="D77">
        <v>3766.53</v>
      </c>
      <c r="E77">
        <v>7.64</v>
      </c>
      <c r="F77">
        <v>57.14</v>
      </c>
      <c r="G77">
        <v>153.69999999999999</v>
      </c>
      <c r="H77">
        <v>455.07</v>
      </c>
      <c r="I77">
        <v>673.56</v>
      </c>
      <c r="J77">
        <v>541.98</v>
      </c>
      <c r="K77">
        <v>1967.56</v>
      </c>
      <c r="L77">
        <v>576.19000000000005</v>
      </c>
      <c r="M77">
        <v>3085.73</v>
      </c>
      <c r="N77">
        <v>7.24</v>
      </c>
    </row>
    <row r="78" spans="1:14">
      <c r="A78" t="s">
        <v>30</v>
      </c>
      <c r="B78" t="s">
        <v>136</v>
      </c>
      <c r="C78">
        <v>328023</v>
      </c>
      <c r="D78">
        <v>3589.38</v>
      </c>
      <c r="E78">
        <v>3.66</v>
      </c>
      <c r="F78">
        <v>50.61</v>
      </c>
      <c r="G78">
        <v>165.84</v>
      </c>
      <c r="H78">
        <v>288.7</v>
      </c>
      <c r="I78">
        <v>508.81</v>
      </c>
      <c r="J78">
        <v>510.03</v>
      </c>
      <c r="K78">
        <v>2020.89</v>
      </c>
      <c r="L78">
        <v>527.4</v>
      </c>
      <c r="M78">
        <v>3058.32</v>
      </c>
      <c r="N78">
        <v>22.25</v>
      </c>
    </row>
    <row r="79" spans="1:14">
      <c r="A79" t="s">
        <v>30</v>
      </c>
      <c r="B79" t="s">
        <v>137</v>
      </c>
      <c r="C79">
        <v>499997</v>
      </c>
      <c r="D79">
        <v>3654.02</v>
      </c>
      <c r="E79">
        <v>7.8</v>
      </c>
      <c r="F79">
        <v>19.8</v>
      </c>
      <c r="G79">
        <v>220</v>
      </c>
      <c r="H79">
        <v>428</v>
      </c>
      <c r="I79">
        <v>675.6</v>
      </c>
      <c r="J79">
        <v>577.6</v>
      </c>
      <c r="K79">
        <v>1815.41</v>
      </c>
      <c r="L79">
        <v>543.6</v>
      </c>
      <c r="M79">
        <v>2936.62</v>
      </c>
      <c r="N79">
        <v>41.8</v>
      </c>
    </row>
    <row r="80" spans="1:14">
      <c r="A80" t="s">
        <v>32</v>
      </c>
      <c r="B80" t="s">
        <v>138</v>
      </c>
      <c r="C80">
        <v>1434625</v>
      </c>
      <c r="D80">
        <v>5565.95</v>
      </c>
      <c r="E80">
        <v>8.15</v>
      </c>
      <c r="F80">
        <v>83.51</v>
      </c>
      <c r="G80">
        <v>151.11000000000001</v>
      </c>
      <c r="H80">
        <v>464.72</v>
      </c>
      <c r="I80">
        <v>707.5</v>
      </c>
      <c r="J80">
        <v>770.82</v>
      </c>
      <c r="K80">
        <v>3622.65</v>
      </c>
      <c r="L80">
        <v>451.37</v>
      </c>
      <c r="M80">
        <v>4844.84</v>
      </c>
      <c r="N80">
        <v>13.61</v>
      </c>
    </row>
    <row r="81" spans="1:14">
      <c r="A81" t="s">
        <v>30</v>
      </c>
      <c r="B81" t="s">
        <v>139</v>
      </c>
      <c r="C81">
        <v>217259</v>
      </c>
      <c r="D81">
        <v>5189.66</v>
      </c>
      <c r="E81">
        <v>15.65</v>
      </c>
      <c r="F81">
        <v>72.72</v>
      </c>
      <c r="G81">
        <v>403.67</v>
      </c>
      <c r="H81">
        <v>799.05</v>
      </c>
      <c r="I81">
        <v>1291.0899999999999</v>
      </c>
      <c r="J81">
        <v>983.16</v>
      </c>
      <c r="K81">
        <v>1836.52</v>
      </c>
      <c r="L81">
        <v>1048.06</v>
      </c>
      <c r="M81">
        <v>3867.73</v>
      </c>
      <c r="N81">
        <v>30.84</v>
      </c>
    </row>
    <row r="82" spans="1:14">
      <c r="A82" t="s">
        <v>30</v>
      </c>
      <c r="B82" t="s">
        <v>47</v>
      </c>
      <c r="C82">
        <v>1386932</v>
      </c>
      <c r="D82">
        <v>2220.67</v>
      </c>
      <c r="E82">
        <v>2.46</v>
      </c>
      <c r="F82">
        <v>39.25</v>
      </c>
      <c r="G82">
        <v>99.01</v>
      </c>
      <c r="H82">
        <v>225.89</v>
      </c>
      <c r="I82">
        <v>366.61</v>
      </c>
      <c r="J82">
        <v>268.02999999999997</v>
      </c>
      <c r="K82">
        <v>1214.3699999999999</v>
      </c>
      <c r="L82">
        <v>360.57</v>
      </c>
      <c r="M82">
        <v>1842.97</v>
      </c>
      <c r="N82">
        <v>11.09</v>
      </c>
    </row>
    <row r="83" spans="1:14">
      <c r="A83" t="s">
        <v>30</v>
      </c>
      <c r="B83" t="s">
        <v>140</v>
      </c>
      <c r="C83">
        <v>881255</v>
      </c>
      <c r="D83">
        <v>6917.4</v>
      </c>
      <c r="E83">
        <v>6.35</v>
      </c>
      <c r="F83">
        <v>41.65</v>
      </c>
      <c r="G83">
        <v>365.39</v>
      </c>
      <c r="H83">
        <v>301.62</v>
      </c>
      <c r="I83">
        <v>715</v>
      </c>
      <c r="J83">
        <v>560</v>
      </c>
      <c r="K83">
        <v>5059.49</v>
      </c>
      <c r="L83">
        <v>548.54</v>
      </c>
      <c r="M83">
        <v>6168.02</v>
      </c>
      <c r="N83">
        <v>34.380000000000003</v>
      </c>
    </row>
    <row r="84" spans="1:14">
      <c r="A84" t="s">
        <v>30</v>
      </c>
      <c r="B84" t="s">
        <v>141</v>
      </c>
      <c r="C84">
        <v>1013240</v>
      </c>
      <c r="D84">
        <v>2861.02</v>
      </c>
      <c r="E84">
        <v>3.08</v>
      </c>
      <c r="F84">
        <v>55.03</v>
      </c>
      <c r="G84">
        <v>132.62</v>
      </c>
      <c r="H84">
        <v>212.91</v>
      </c>
      <c r="I84">
        <v>403.65</v>
      </c>
      <c r="J84">
        <v>378.4</v>
      </c>
      <c r="K84">
        <v>1284.69</v>
      </c>
      <c r="L84">
        <v>777.62</v>
      </c>
      <c r="M84">
        <v>2440.6999999999998</v>
      </c>
      <c r="N84">
        <v>16.670000000000002</v>
      </c>
    </row>
    <row r="85" spans="1:14">
      <c r="A85" t="s">
        <v>30</v>
      </c>
      <c r="B85" t="s">
        <v>142</v>
      </c>
      <c r="C85">
        <v>335699</v>
      </c>
      <c r="D85">
        <v>2596.67</v>
      </c>
      <c r="E85">
        <v>6.26</v>
      </c>
      <c r="F85">
        <v>56</v>
      </c>
      <c r="G85">
        <v>180.22</v>
      </c>
      <c r="H85">
        <v>246.05</v>
      </c>
      <c r="I85">
        <v>488.53</v>
      </c>
      <c r="J85">
        <v>276.74</v>
      </c>
      <c r="K85">
        <v>1223.72</v>
      </c>
      <c r="L85">
        <v>589.80999999999995</v>
      </c>
      <c r="M85">
        <v>2090.27</v>
      </c>
      <c r="N85">
        <v>17.87</v>
      </c>
    </row>
    <row r="86" spans="1:14">
      <c r="A86" t="s">
        <v>30</v>
      </c>
      <c r="B86" t="s">
        <v>143</v>
      </c>
      <c r="C86">
        <v>216350</v>
      </c>
      <c r="D86">
        <v>1592.79</v>
      </c>
      <c r="E86">
        <v>1.85</v>
      </c>
      <c r="F86">
        <v>18.489999999999998</v>
      </c>
      <c r="G86">
        <v>56.39</v>
      </c>
      <c r="H86">
        <v>85.97</v>
      </c>
      <c r="I86">
        <v>162.69999999999999</v>
      </c>
      <c r="J86">
        <v>311.52999999999997</v>
      </c>
      <c r="K86">
        <v>923.04</v>
      </c>
      <c r="L86">
        <v>189.51</v>
      </c>
      <c r="M86">
        <v>1424.08</v>
      </c>
      <c r="N86">
        <v>6.01</v>
      </c>
    </row>
    <row r="87" spans="1:14">
      <c r="A87" t="s">
        <v>28</v>
      </c>
      <c r="B87" t="s">
        <v>144</v>
      </c>
      <c r="C87">
        <v>242941</v>
      </c>
      <c r="D87">
        <v>3901.36</v>
      </c>
      <c r="E87">
        <v>14.41</v>
      </c>
      <c r="F87">
        <v>41.16</v>
      </c>
      <c r="G87">
        <v>156.83000000000001</v>
      </c>
      <c r="H87">
        <v>250.27</v>
      </c>
      <c r="I87">
        <v>462.66</v>
      </c>
      <c r="J87">
        <v>549.52</v>
      </c>
      <c r="K87">
        <v>2494.84</v>
      </c>
      <c r="L87">
        <v>386.93</v>
      </c>
      <c r="M87">
        <v>3431.29</v>
      </c>
      <c r="N87">
        <v>7.41</v>
      </c>
    </row>
    <row r="88" spans="1:14">
      <c r="A88" t="s">
        <v>57</v>
      </c>
      <c r="B88" t="s">
        <v>145</v>
      </c>
      <c r="C88">
        <v>251840</v>
      </c>
      <c r="D88">
        <v>2338.38</v>
      </c>
      <c r="E88">
        <v>1.99</v>
      </c>
      <c r="F88">
        <v>40.9</v>
      </c>
      <c r="G88">
        <v>39.71</v>
      </c>
      <c r="H88">
        <v>74.650000000000006</v>
      </c>
      <c r="I88">
        <v>157.24</v>
      </c>
      <c r="J88">
        <v>348.63</v>
      </c>
      <c r="K88">
        <v>1725.7</v>
      </c>
      <c r="L88">
        <v>97.68</v>
      </c>
      <c r="M88">
        <v>2172.0100000000002</v>
      </c>
      <c r="N88">
        <v>9.1300000000000008</v>
      </c>
    </row>
    <row r="89" spans="1:14">
      <c r="A89" t="s">
        <v>146</v>
      </c>
      <c r="B89" t="s">
        <v>147</v>
      </c>
      <c r="C89">
        <v>721365</v>
      </c>
      <c r="D89">
        <v>5911.99</v>
      </c>
      <c r="E89">
        <v>3.74</v>
      </c>
      <c r="F89">
        <v>36.869999999999997</v>
      </c>
      <c r="G89">
        <v>210.02</v>
      </c>
      <c r="H89">
        <v>382.05</v>
      </c>
      <c r="I89">
        <v>632.69000000000005</v>
      </c>
      <c r="J89">
        <v>1081.98</v>
      </c>
      <c r="K89">
        <v>3673.45</v>
      </c>
      <c r="L89">
        <v>503.21</v>
      </c>
      <c r="M89">
        <v>5258.64</v>
      </c>
      <c r="N89">
        <v>20.66</v>
      </c>
    </row>
    <row r="90" spans="1:14">
      <c r="A90" t="s">
        <v>146</v>
      </c>
      <c r="B90" t="s">
        <v>148</v>
      </c>
      <c r="C90">
        <v>217066</v>
      </c>
      <c r="D90">
        <v>7881.01</v>
      </c>
      <c r="E90">
        <v>2.76</v>
      </c>
      <c r="F90">
        <v>109.64</v>
      </c>
      <c r="G90">
        <v>105.5</v>
      </c>
      <c r="H90">
        <v>408.63</v>
      </c>
      <c r="I90">
        <v>626.54</v>
      </c>
      <c r="J90">
        <v>1023.19</v>
      </c>
      <c r="K90">
        <v>5408.03</v>
      </c>
      <c r="L90">
        <v>800.22</v>
      </c>
      <c r="M90">
        <v>7231.44</v>
      </c>
      <c r="N90">
        <v>23.03</v>
      </c>
    </row>
    <row r="91" spans="1:14">
      <c r="A91" t="s">
        <v>101</v>
      </c>
      <c r="B91" t="s">
        <v>149</v>
      </c>
      <c r="C91">
        <v>310284</v>
      </c>
      <c r="D91">
        <v>8188.31</v>
      </c>
      <c r="E91">
        <v>66.069999999999993</v>
      </c>
      <c r="F91">
        <v>93.14</v>
      </c>
      <c r="G91">
        <v>626.52</v>
      </c>
      <c r="H91">
        <v>1296.55</v>
      </c>
      <c r="I91">
        <v>2082.29</v>
      </c>
      <c r="J91">
        <v>1011.33</v>
      </c>
      <c r="K91">
        <v>4155.55</v>
      </c>
      <c r="L91">
        <v>874.36</v>
      </c>
      <c r="M91">
        <v>6041.24</v>
      </c>
      <c r="N91">
        <v>64.78</v>
      </c>
    </row>
    <row r="92" spans="1:14">
      <c r="A92" t="s">
        <v>115</v>
      </c>
      <c r="B92" t="s">
        <v>150</v>
      </c>
      <c r="C92">
        <v>306696</v>
      </c>
      <c r="D92">
        <v>4262.8599999999997</v>
      </c>
      <c r="E92">
        <v>7.17</v>
      </c>
      <c r="F92">
        <v>70.75</v>
      </c>
      <c r="G92">
        <v>227.26</v>
      </c>
      <c r="H92">
        <v>345.62</v>
      </c>
      <c r="I92">
        <v>650.80999999999995</v>
      </c>
      <c r="J92">
        <v>741.45</v>
      </c>
      <c r="K92">
        <v>2144.4699999999998</v>
      </c>
      <c r="L92">
        <v>679.5</v>
      </c>
      <c r="M92">
        <v>3565.42</v>
      </c>
      <c r="N92">
        <v>46.63</v>
      </c>
    </row>
    <row r="93" spans="1:14">
      <c r="A93" t="s">
        <v>39</v>
      </c>
      <c r="B93" t="s">
        <v>151</v>
      </c>
      <c r="C93">
        <v>263712</v>
      </c>
      <c r="D93">
        <v>5029.3500000000004</v>
      </c>
      <c r="E93">
        <v>7.58</v>
      </c>
      <c r="F93">
        <v>51.57</v>
      </c>
      <c r="G93">
        <v>189.22</v>
      </c>
      <c r="H93">
        <v>450.11</v>
      </c>
      <c r="I93">
        <v>698.49</v>
      </c>
      <c r="J93">
        <v>671.95</v>
      </c>
      <c r="K93">
        <v>3269.85</v>
      </c>
      <c r="L93">
        <v>370.86</v>
      </c>
      <c r="M93">
        <v>4312.66</v>
      </c>
      <c r="N93">
        <v>18.2</v>
      </c>
    </row>
    <row r="94" spans="1:14">
      <c r="A94" t="s">
        <v>30</v>
      </c>
      <c r="B94" t="s">
        <v>152</v>
      </c>
      <c r="C94">
        <v>309566</v>
      </c>
      <c r="D94">
        <v>5109.09</v>
      </c>
      <c r="E94">
        <v>17.77</v>
      </c>
      <c r="F94">
        <v>49.75</v>
      </c>
      <c r="G94">
        <v>390.22</v>
      </c>
      <c r="H94">
        <v>956.82</v>
      </c>
      <c r="I94">
        <v>1414.56</v>
      </c>
      <c r="J94">
        <v>691.29</v>
      </c>
      <c r="K94">
        <v>2274.15</v>
      </c>
      <c r="L94">
        <v>661.89</v>
      </c>
      <c r="M94">
        <v>3627.34</v>
      </c>
      <c r="N94">
        <v>67.19</v>
      </c>
    </row>
    <row r="95" spans="1:14">
      <c r="A95" t="s">
        <v>39</v>
      </c>
      <c r="B95" t="s">
        <v>153</v>
      </c>
      <c r="C95">
        <v>384360</v>
      </c>
      <c r="D95">
        <v>2218.2399999999998</v>
      </c>
      <c r="E95">
        <v>10.15</v>
      </c>
      <c r="F95">
        <v>31.48</v>
      </c>
      <c r="G95">
        <v>105.63</v>
      </c>
      <c r="H95">
        <v>317.14999999999998</v>
      </c>
      <c r="I95">
        <v>464.41</v>
      </c>
      <c r="J95">
        <v>321.31</v>
      </c>
      <c r="K95">
        <v>1274.8499999999999</v>
      </c>
      <c r="L95">
        <v>147.52000000000001</v>
      </c>
      <c r="M95">
        <v>1743.68</v>
      </c>
      <c r="N95">
        <v>10.15</v>
      </c>
    </row>
    <row r="96" spans="1:14">
      <c r="A96" t="s">
        <v>66</v>
      </c>
      <c r="B96" t="s">
        <v>154</v>
      </c>
      <c r="C96">
        <v>270871</v>
      </c>
      <c r="D96">
        <v>4003.74</v>
      </c>
      <c r="E96">
        <v>12.63</v>
      </c>
      <c r="G96">
        <v>281.47000000000003</v>
      </c>
      <c r="H96">
        <v>661.82</v>
      </c>
      <c r="J96">
        <v>1119.75</v>
      </c>
      <c r="K96">
        <v>2615.15</v>
      </c>
      <c r="L96">
        <v>268.83999999999997</v>
      </c>
      <c r="M96">
        <v>4003.74</v>
      </c>
    </row>
    <row r="97" spans="1:14">
      <c r="A97" t="s">
        <v>57</v>
      </c>
      <c r="B97" t="s">
        <v>155</v>
      </c>
      <c r="C97">
        <v>1532323</v>
      </c>
      <c r="D97">
        <v>6082.78</v>
      </c>
      <c r="E97">
        <v>8.64</v>
      </c>
      <c r="F97">
        <v>93.55</v>
      </c>
      <c r="G97">
        <v>268.82</v>
      </c>
      <c r="H97">
        <v>430.75</v>
      </c>
      <c r="I97">
        <v>801.77</v>
      </c>
      <c r="J97">
        <v>831.07</v>
      </c>
      <c r="K97">
        <v>3968.46</v>
      </c>
      <c r="L97">
        <v>452.17</v>
      </c>
      <c r="M97">
        <v>5251.7</v>
      </c>
      <c r="N97">
        <v>29.31</v>
      </c>
    </row>
    <row r="98" spans="1:14">
      <c r="A98" t="s">
        <v>125</v>
      </c>
      <c r="B98" t="s">
        <v>156</v>
      </c>
      <c r="C98">
        <v>404868</v>
      </c>
      <c r="D98">
        <v>6532.01</v>
      </c>
      <c r="E98">
        <v>17.29</v>
      </c>
      <c r="F98">
        <v>104.48</v>
      </c>
      <c r="G98">
        <v>238.1</v>
      </c>
      <c r="H98">
        <v>680.96</v>
      </c>
      <c r="I98">
        <v>1040.83</v>
      </c>
      <c r="J98">
        <v>1376.75</v>
      </c>
      <c r="K98">
        <v>3224.26</v>
      </c>
      <c r="L98">
        <v>854.6</v>
      </c>
      <c r="M98">
        <v>5455.61</v>
      </c>
      <c r="N98">
        <v>35.57</v>
      </c>
    </row>
    <row r="99" spans="1:14">
      <c r="A99" t="s">
        <v>61</v>
      </c>
      <c r="B99" t="s">
        <v>157</v>
      </c>
      <c r="C99">
        <v>454353</v>
      </c>
      <c r="D99">
        <v>2083.4</v>
      </c>
      <c r="E99">
        <v>3.08</v>
      </c>
      <c r="F99">
        <v>22.45</v>
      </c>
      <c r="G99">
        <v>59.87</v>
      </c>
      <c r="H99">
        <v>52.16</v>
      </c>
      <c r="I99">
        <v>137.56</v>
      </c>
      <c r="J99">
        <v>165.95</v>
      </c>
      <c r="K99">
        <v>1667.65</v>
      </c>
      <c r="L99">
        <v>101.02</v>
      </c>
      <c r="M99">
        <v>1934.62</v>
      </c>
      <c r="N99">
        <v>11.22</v>
      </c>
    </row>
    <row r="100" spans="1:14">
      <c r="A100" t="s">
        <v>50</v>
      </c>
      <c r="B100" t="s">
        <v>51</v>
      </c>
      <c r="C100">
        <v>693972</v>
      </c>
      <c r="D100">
        <v>5104.96</v>
      </c>
      <c r="E100">
        <v>16.72</v>
      </c>
      <c r="F100">
        <v>63.84</v>
      </c>
      <c r="G100">
        <v>338.77</v>
      </c>
      <c r="H100">
        <v>529.41999999999996</v>
      </c>
      <c r="I100">
        <v>948.74</v>
      </c>
      <c r="J100">
        <v>260.52999999999997</v>
      </c>
      <c r="K100">
        <v>3528.96</v>
      </c>
      <c r="L100">
        <v>366.73</v>
      </c>
      <c r="M100">
        <v>4156.22</v>
      </c>
    </row>
    <row r="101" spans="1:14">
      <c r="A101" t="s">
        <v>158</v>
      </c>
      <c r="B101" t="s">
        <v>159</v>
      </c>
      <c r="C101">
        <v>391084</v>
      </c>
      <c r="D101">
        <v>6583.5</v>
      </c>
      <c r="E101">
        <v>8.9499999999999993</v>
      </c>
      <c r="F101">
        <v>97.68</v>
      </c>
      <c r="G101">
        <v>153.16</v>
      </c>
      <c r="H101">
        <v>762.5</v>
      </c>
      <c r="I101">
        <v>1022.29</v>
      </c>
      <c r="J101">
        <v>838.95</v>
      </c>
      <c r="K101">
        <v>4063.07</v>
      </c>
      <c r="L101">
        <v>633.62</v>
      </c>
      <c r="M101">
        <v>5535.64</v>
      </c>
      <c r="N101">
        <v>25.57</v>
      </c>
    </row>
  </sheetData>
  <phoneticPr fontId="1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B4DFF-D45E-4427-A5F5-5CBECF3121EC}">
  <sheetPr codeName="Sheet9"/>
  <dimension ref="A1:X27"/>
  <sheetViews>
    <sheetView workbookViewId="0">
      <selection activeCell="U13" sqref="U13"/>
    </sheetView>
  </sheetViews>
  <sheetFormatPr baseColWidth="10" defaultColWidth="8.83203125" defaultRowHeight="16"/>
  <cols>
    <col min="1" max="1" width="13" bestFit="1" customWidth="1"/>
    <col min="2" max="2" width="28.1640625" bestFit="1" customWidth="1"/>
    <col min="3" max="3" width="11.6640625" bestFit="1" customWidth="1"/>
    <col min="4" max="4" width="23" bestFit="1" customWidth="1"/>
    <col min="5" max="5" width="18.83203125" bestFit="1" customWidth="1"/>
    <col min="6" max="6" width="16" bestFit="1" customWidth="1"/>
    <col min="7" max="7" width="10.5" bestFit="1" customWidth="1"/>
    <col min="8" max="8" width="15.5" bestFit="1" customWidth="1"/>
    <col min="9" max="9" width="13" bestFit="1" customWidth="1"/>
    <col min="10" max="10" width="11.6640625" bestFit="1" customWidth="1"/>
    <col min="11" max="11" width="18" bestFit="1" customWidth="1"/>
    <col min="12" max="12" width="19.1640625" bestFit="1" customWidth="1"/>
    <col min="13" max="13" width="8.1640625" bestFit="1" customWidth="1"/>
    <col min="14" max="14" width="11.1640625" bestFit="1" customWidth="1"/>
    <col min="15" max="16" width="8.1640625" bestFit="1" customWidth="1"/>
    <col min="17" max="17" width="9.83203125" bestFit="1" customWidth="1"/>
    <col min="18" max="18" width="9.33203125" bestFit="1" customWidth="1"/>
    <col min="19" max="19" width="14.5" bestFit="1" customWidth="1"/>
    <col min="20" max="20" width="23.1640625" bestFit="1" customWidth="1"/>
    <col min="21" max="21" width="7.1640625" bestFit="1" customWidth="1"/>
    <col min="22" max="22" width="7" bestFit="1" customWidth="1"/>
    <col min="23" max="23" width="8.1640625" bestFit="1" customWidth="1"/>
    <col min="24" max="24" width="11.1640625" bestFit="1" customWidth="1"/>
    <col min="25" max="25" width="7.1640625" bestFit="1" customWidth="1"/>
    <col min="26" max="26" width="6.1640625" bestFit="1" customWidth="1"/>
    <col min="27" max="27" width="9.83203125" bestFit="1" customWidth="1"/>
    <col min="28" max="28" width="9.33203125" bestFit="1" customWidth="1"/>
    <col min="29" max="29" width="14.5" bestFit="1" customWidth="1"/>
    <col min="30" max="30" width="23.5" bestFit="1" customWidth="1"/>
    <col min="31" max="32" width="8.1640625" bestFit="1" customWidth="1"/>
    <col min="33" max="33" width="8" bestFit="1" customWidth="1"/>
    <col min="34" max="34" width="11.1640625" bestFit="1" customWidth="1"/>
    <col min="35" max="36" width="8.1640625" bestFit="1" customWidth="1"/>
    <col min="37" max="37" width="9.83203125" bestFit="1" customWidth="1"/>
    <col min="38" max="38" width="9.33203125" bestFit="1" customWidth="1"/>
    <col min="39" max="39" width="14.5" bestFit="1" customWidth="1"/>
    <col min="40" max="40" width="21.1640625" bestFit="1" customWidth="1"/>
    <col min="41" max="41" width="27.6640625" bestFit="1" customWidth="1"/>
    <col min="42" max="42" width="28" bestFit="1" customWidth="1"/>
  </cols>
  <sheetData>
    <row r="1" spans="1:24">
      <c r="A1" t="s">
        <v>160</v>
      </c>
      <c r="B1" t="s">
        <v>161</v>
      </c>
      <c r="C1" t="s">
        <v>162</v>
      </c>
      <c r="D1" t="s">
        <v>169</v>
      </c>
      <c r="E1" t="s">
        <v>170</v>
      </c>
      <c r="F1" t="s">
        <v>165</v>
      </c>
      <c r="G1" t="s">
        <v>904</v>
      </c>
      <c r="H1" t="s">
        <v>717</v>
      </c>
      <c r="I1" t="s">
        <v>718</v>
      </c>
      <c r="J1" t="s">
        <v>23</v>
      </c>
      <c r="K1" t="s">
        <v>24</v>
      </c>
      <c r="L1" t="s">
        <v>955</v>
      </c>
      <c r="T1" t="s">
        <v>21</v>
      </c>
      <c r="U1" t="s">
        <v>22</v>
      </c>
      <c r="V1" t="s">
        <v>23</v>
      </c>
      <c r="W1" t="s">
        <v>24</v>
      </c>
      <c r="X1" t="s">
        <v>25</v>
      </c>
    </row>
    <row r="2" spans="1:24">
      <c r="A2" t="s">
        <v>29</v>
      </c>
      <c r="B2" t="s">
        <v>28</v>
      </c>
      <c r="C2">
        <v>33.799999999999997</v>
      </c>
      <c r="D2">
        <v>0.48280247911614121</v>
      </c>
      <c r="E2">
        <v>0.51719752088385884</v>
      </c>
      <c r="F2">
        <v>463875</v>
      </c>
      <c r="G2">
        <v>11</v>
      </c>
      <c r="H2">
        <v>167</v>
      </c>
      <c r="I2">
        <v>7</v>
      </c>
      <c r="J2">
        <v>5727.52</v>
      </c>
      <c r="K2">
        <v>935.72</v>
      </c>
      <c r="L2">
        <v>4776.43</v>
      </c>
      <c r="T2" t="s">
        <v>28</v>
      </c>
      <c r="U2" t="s">
        <v>29</v>
      </c>
      <c r="V2">
        <v>5727.52</v>
      </c>
      <c r="W2">
        <v>935.72</v>
      </c>
      <c r="X2">
        <v>4776.43</v>
      </c>
    </row>
    <row r="3" spans="1:24">
      <c r="A3" t="s">
        <v>33</v>
      </c>
      <c r="B3" t="s">
        <v>32</v>
      </c>
      <c r="C3">
        <v>32.700000000000003</v>
      </c>
      <c r="D3">
        <v>0.51051468063186811</v>
      </c>
      <c r="E3">
        <v>0.48948531936813189</v>
      </c>
      <c r="F3">
        <v>931840</v>
      </c>
      <c r="G3">
        <v>14</v>
      </c>
      <c r="H3">
        <v>81</v>
      </c>
      <c r="I3">
        <v>16</v>
      </c>
      <c r="J3">
        <v>3612.23</v>
      </c>
      <c r="K3">
        <v>414.84</v>
      </c>
      <c r="L3">
        <v>3189.57</v>
      </c>
      <c r="T3" t="s">
        <v>32</v>
      </c>
      <c r="U3" t="s">
        <v>33</v>
      </c>
      <c r="V3">
        <v>3612.23</v>
      </c>
      <c r="W3">
        <v>414.84</v>
      </c>
      <c r="X3">
        <v>3189.57</v>
      </c>
    </row>
    <row r="4" spans="1:24">
      <c r="A4" t="s">
        <v>1</v>
      </c>
      <c r="B4" t="s">
        <v>36</v>
      </c>
      <c r="C4">
        <v>31.8</v>
      </c>
      <c r="D4">
        <v>0.48120077255257526</v>
      </c>
      <c r="E4">
        <v>0.51879922744742479</v>
      </c>
      <c r="F4">
        <v>669469</v>
      </c>
      <c r="G4">
        <v>45</v>
      </c>
      <c r="H4">
        <v>114</v>
      </c>
      <c r="I4">
        <v>39</v>
      </c>
      <c r="J4">
        <v>2758.22</v>
      </c>
      <c r="K4">
        <v>669.2</v>
      </c>
      <c r="L4">
        <v>2089.02</v>
      </c>
      <c r="T4" t="s">
        <v>36</v>
      </c>
      <c r="U4" t="s">
        <v>1</v>
      </c>
      <c r="V4">
        <v>2758.22</v>
      </c>
      <c r="W4">
        <v>669.2</v>
      </c>
      <c r="X4">
        <v>2089.02</v>
      </c>
    </row>
    <row r="5" spans="1:24">
      <c r="A5" t="s">
        <v>64</v>
      </c>
      <c r="B5" t="s">
        <v>63</v>
      </c>
      <c r="C5">
        <v>34.200000000000003</v>
      </c>
      <c r="D5">
        <v>0.48520045167237874</v>
      </c>
      <c r="E5">
        <v>0.51479954832762131</v>
      </c>
      <c r="F5">
        <v>2720556</v>
      </c>
      <c r="G5">
        <v>18</v>
      </c>
      <c r="H5">
        <v>126</v>
      </c>
      <c r="I5">
        <v>17</v>
      </c>
      <c r="J5">
        <v>4381.6499999999996</v>
      </c>
      <c r="K5">
        <v>1098.8599999999999</v>
      </c>
      <c r="L5">
        <v>3263.8</v>
      </c>
      <c r="T5" t="s">
        <v>30</v>
      </c>
      <c r="U5" t="s">
        <v>38</v>
      </c>
      <c r="V5">
        <v>3332.52</v>
      </c>
      <c r="W5">
        <v>761.31</v>
      </c>
      <c r="X5">
        <v>2535.92</v>
      </c>
    </row>
    <row r="6" spans="1:24">
      <c r="A6" t="s">
        <v>38</v>
      </c>
      <c r="B6" t="s">
        <v>30</v>
      </c>
      <c r="C6">
        <v>35</v>
      </c>
      <c r="D6">
        <v>0.49321482737715189</v>
      </c>
      <c r="E6">
        <v>0.50678517262284817</v>
      </c>
      <c r="F6">
        <v>3971896</v>
      </c>
      <c r="G6">
        <v>13</v>
      </c>
      <c r="H6">
        <v>170</v>
      </c>
      <c r="I6">
        <v>12</v>
      </c>
      <c r="J6">
        <v>3332.52</v>
      </c>
      <c r="K6">
        <v>761.31</v>
      </c>
      <c r="L6">
        <v>2535.92</v>
      </c>
      <c r="T6" t="s">
        <v>39</v>
      </c>
      <c r="U6" t="s">
        <v>40</v>
      </c>
      <c r="V6">
        <v>4750.8900000000003</v>
      </c>
      <c r="W6">
        <v>720.94</v>
      </c>
      <c r="X6">
        <v>4014.18</v>
      </c>
    </row>
    <row r="7" spans="1:24">
      <c r="A7" t="s">
        <v>40</v>
      </c>
      <c r="B7" t="s">
        <v>39</v>
      </c>
      <c r="C7">
        <v>40.4</v>
      </c>
      <c r="D7">
        <v>0.48944531496250471</v>
      </c>
      <c r="E7">
        <v>0.51055468503749524</v>
      </c>
      <c r="F7">
        <v>440989</v>
      </c>
      <c r="G7">
        <v>1</v>
      </c>
      <c r="H7">
        <v>145</v>
      </c>
      <c r="I7">
        <v>1</v>
      </c>
      <c r="J7">
        <v>4750.8900000000003</v>
      </c>
      <c r="K7">
        <v>720.94</v>
      </c>
      <c r="L7">
        <v>4014.18</v>
      </c>
      <c r="T7" t="s">
        <v>43</v>
      </c>
      <c r="U7" t="s">
        <v>43</v>
      </c>
      <c r="V7">
        <v>1987.49</v>
      </c>
      <c r="W7">
        <v>538.9</v>
      </c>
      <c r="X7">
        <v>1448.59</v>
      </c>
    </row>
    <row r="8" spans="1:24">
      <c r="A8" t="s">
        <v>905</v>
      </c>
      <c r="B8" t="s">
        <v>43</v>
      </c>
      <c r="C8">
        <v>36</v>
      </c>
      <c r="D8">
        <v>0.47736896673315476</v>
      </c>
      <c r="E8">
        <v>0.52263103326684524</v>
      </c>
      <c r="F8">
        <v>8550405</v>
      </c>
      <c r="G8">
        <v>16</v>
      </c>
      <c r="H8">
        <v>178</v>
      </c>
      <c r="I8">
        <v>11</v>
      </c>
      <c r="J8">
        <v>1987.49</v>
      </c>
      <c r="K8">
        <v>538.9</v>
      </c>
      <c r="L8">
        <v>1448.59</v>
      </c>
      <c r="T8" t="s">
        <v>44</v>
      </c>
      <c r="U8" t="s">
        <v>45</v>
      </c>
      <c r="V8">
        <v>3815.23</v>
      </c>
      <c r="W8">
        <v>656.36</v>
      </c>
      <c r="X8">
        <v>3114.42</v>
      </c>
    </row>
    <row r="9" spans="1:24">
      <c r="A9" t="s">
        <v>45</v>
      </c>
      <c r="B9" t="s">
        <v>44</v>
      </c>
      <c r="C9">
        <v>34.5</v>
      </c>
      <c r="D9">
        <v>0.47977011825370536</v>
      </c>
      <c r="E9">
        <v>0.5202298817462947</v>
      </c>
      <c r="F9">
        <v>69427</v>
      </c>
      <c r="G9">
        <v>15</v>
      </c>
      <c r="H9">
        <v>12</v>
      </c>
      <c r="I9">
        <v>22</v>
      </c>
      <c r="J9">
        <v>3815.23</v>
      </c>
      <c r="K9">
        <v>656.36</v>
      </c>
      <c r="L9">
        <v>3114.42</v>
      </c>
      <c r="T9" t="s">
        <v>30</v>
      </c>
      <c r="U9" t="s">
        <v>47</v>
      </c>
      <c r="V9">
        <v>2220.67</v>
      </c>
      <c r="W9">
        <v>366.61</v>
      </c>
      <c r="X9">
        <v>1842.97</v>
      </c>
    </row>
    <row r="10" spans="1:24">
      <c r="A10" t="s">
        <v>47</v>
      </c>
      <c r="B10" t="s">
        <v>30</v>
      </c>
      <c r="C10">
        <v>34.5</v>
      </c>
      <c r="D10">
        <v>0.4973994682082748</v>
      </c>
      <c r="E10">
        <v>0.50260053179172515</v>
      </c>
      <c r="F10">
        <v>1394907</v>
      </c>
      <c r="G10">
        <v>10</v>
      </c>
      <c r="H10">
        <v>147</v>
      </c>
      <c r="I10">
        <v>10</v>
      </c>
      <c r="J10">
        <v>2220.67</v>
      </c>
      <c r="K10">
        <v>366.61</v>
      </c>
      <c r="L10">
        <v>1842.97</v>
      </c>
      <c r="T10" t="s">
        <v>50</v>
      </c>
      <c r="U10" t="s">
        <v>51</v>
      </c>
      <c r="V10">
        <v>5104.96</v>
      </c>
      <c r="W10">
        <v>948.74</v>
      </c>
      <c r="X10">
        <v>4156.22</v>
      </c>
    </row>
    <row r="11" spans="1:24">
      <c r="A11" t="s">
        <v>714</v>
      </c>
      <c r="B11" t="s">
        <v>50</v>
      </c>
      <c r="C11">
        <v>33.799999999999997</v>
      </c>
      <c r="D11">
        <v>0.47559012715923765</v>
      </c>
      <c r="E11">
        <v>0.52440987284076235</v>
      </c>
      <c r="F11">
        <v>672228</v>
      </c>
      <c r="G11">
        <v>20</v>
      </c>
      <c r="H11">
        <v>134</v>
      </c>
      <c r="I11">
        <v>18</v>
      </c>
      <c r="J11">
        <v>5104.96</v>
      </c>
      <c r="K11">
        <v>948.74</v>
      </c>
      <c r="L11">
        <v>4156.22</v>
      </c>
      <c r="T11" t="s">
        <v>63</v>
      </c>
      <c r="U11" t="s">
        <v>64</v>
      </c>
      <c r="V11">
        <v>4381.6499999999996</v>
      </c>
      <c r="W11">
        <v>1098.8599999999999</v>
      </c>
      <c r="X11">
        <v>3263.8</v>
      </c>
    </row>
    <row r="14" spans="1:24">
      <c r="A14" s="30" t="s">
        <v>182</v>
      </c>
      <c r="B14" t="s">
        <v>183</v>
      </c>
      <c r="C14" t="s">
        <v>184</v>
      </c>
      <c r="F14" s="30" t="s">
        <v>707</v>
      </c>
    </row>
    <row r="15" spans="1:24">
      <c r="A15" s="31" t="s">
        <v>1</v>
      </c>
      <c r="B15" s="170">
        <v>31.8</v>
      </c>
      <c r="C15" s="170">
        <v>669469</v>
      </c>
      <c r="E15" s="30" t="s">
        <v>708</v>
      </c>
      <c r="F15" t="s">
        <v>1</v>
      </c>
      <c r="G15" t="s">
        <v>185</v>
      </c>
    </row>
    <row r="16" spans="1:24">
      <c r="A16" s="31" t="s">
        <v>185</v>
      </c>
      <c r="B16" s="170">
        <v>31.8</v>
      </c>
      <c r="C16" s="170">
        <v>669469</v>
      </c>
      <c r="E16" s="31" t="s">
        <v>713</v>
      </c>
      <c r="F16" s="34">
        <v>0.51879922744742479</v>
      </c>
      <c r="G16" s="34">
        <v>0.51879922744742479</v>
      </c>
      <c r="I16" s="30" t="s">
        <v>182</v>
      </c>
      <c r="J16" t="s">
        <v>956</v>
      </c>
      <c r="K16" t="s">
        <v>957</v>
      </c>
      <c r="L16" t="s">
        <v>958</v>
      </c>
    </row>
    <row r="17" spans="1:12">
      <c r="E17" s="31" t="s">
        <v>712</v>
      </c>
      <c r="F17" s="34">
        <v>0.48120077255257526</v>
      </c>
      <c r="G17" s="34">
        <v>0.48120077255257526</v>
      </c>
      <c r="I17" s="31" t="s">
        <v>1</v>
      </c>
      <c r="J17" s="170">
        <v>2758.22</v>
      </c>
      <c r="K17" s="170">
        <v>669.2</v>
      </c>
      <c r="L17" s="170">
        <v>2089.02</v>
      </c>
    </row>
    <row r="18" spans="1:12">
      <c r="I18" s="31" t="s">
        <v>185</v>
      </c>
      <c r="J18" s="170">
        <v>2758.22</v>
      </c>
      <c r="K18" s="170">
        <v>669.2</v>
      </c>
      <c r="L18" s="170">
        <v>2089.02</v>
      </c>
    </row>
    <row r="19" spans="1:12">
      <c r="A19" s="30" t="s">
        <v>182</v>
      </c>
      <c r="B19" t="s">
        <v>938</v>
      </c>
      <c r="C19" t="s">
        <v>939</v>
      </c>
      <c r="D19" t="s">
        <v>940</v>
      </c>
    </row>
    <row r="20" spans="1:12">
      <c r="A20" s="31" t="s">
        <v>1</v>
      </c>
      <c r="B20" s="170">
        <v>39</v>
      </c>
      <c r="C20" s="170">
        <v>114</v>
      </c>
      <c r="D20" s="170">
        <v>45</v>
      </c>
    </row>
    <row r="21" spans="1:12">
      <c r="A21" s="31" t="s">
        <v>185</v>
      </c>
      <c r="B21" s="170">
        <v>39</v>
      </c>
      <c r="C21" s="170">
        <v>114</v>
      </c>
      <c r="D21" s="170">
        <v>45</v>
      </c>
    </row>
    <row r="24" spans="1:12">
      <c r="A24" t="s">
        <v>937</v>
      </c>
      <c r="B24" t="str">
        <f>A20</f>
        <v>Boston</v>
      </c>
    </row>
    <row r="25" spans="1:12">
      <c r="A25" t="s">
        <v>941</v>
      </c>
      <c r="B25">
        <f>GETPIVOTDATA("Overall Best Foodie Cities ",$A$19)</f>
        <v>45</v>
      </c>
    </row>
    <row r="26" spans="1:12">
      <c r="A26" t="s">
        <v>903</v>
      </c>
      <c r="B26">
        <f>GETPIVOTDATA("Affordability ",$A$19)</f>
        <v>114</v>
      </c>
    </row>
    <row r="27" spans="1:12">
      <c r="A27" t="s">
        <v>938</v>
      </c>
      <c r="B27">
        <f>GETPIVOTDATA("Diversity, Accessibility &amp; Quality",$A$19)</f>
        <v>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C3005B-31D9-4B9E-8E74-7E61D2D4A2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Home Page</vt:lpstr>
      <vt:lpstr>Dashboard</vt:lpstr>
      <vt:lpstr>Information</vt:lpstr>
      <vt:lpstr>Age Demographic</vt:lpstr>
      <vt:lpstr>Quality of Life Data</vt:lpstr>
      <vt:lpstr>Salary Data</vt:lpstr>
      <vt:lpstr>Best Foodie Cities</vt:lpstr>
      <vt:lpstr>Crime Data</vt:lpstr>
      <vt:lpstr>Bottom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Cahill</dc:creator>
  <cp:keywords/>
  <dc:description/>
  <cp:lastModifiedBy>Daniel Cahill</cp:lastModifiedBy>
  <cp:revision/>
  <dcterms:created xsi:type="dcterms:W3CDTF">2024-12-03T21:06:38Z</dcterms:created>
  <dcterms:modified xsi:type="dcterms:W3CDTF">2024-12-16T21:51:27Z</dcterms:modified>
  <cp:category/>
  <cp:contentStatus/>
</cp:coreProperties>
</file>